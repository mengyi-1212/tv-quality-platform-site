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基础数据" sheetId="1" r:id="rId1"/>
    <sheet name="色温和色域" sheetId="2" r:id="rId2"/>
    <sheet name="波长" sheetId="3" r:id="rId3"/>
    <sheet name="屏对比度" sheetId="4" r:id="rId4"/>
    <sheet name="SDR稳态峰值亮度(灯坏）" sheetId="5" r:id="rId5"/>
    <sheet name="HDR稳态峰值亮度" sheetId="6" r:id="rId6"/>
    <sheet name="小窗口色偏" sheetId="7" r:id="rId7"/>
  </sheets>
  <calcPr calcId="0"/>
</workbook>
</file>

<file path=xl/sharedStrings.xml><?xml version="1.0" encoding="utf-8"?>
<sst xmlns="http://schemas.openxmlformats.org/spreadsheetml/2006/main">
  <si>
    <t>测试内容</t>
  </si>
  <si>
    <t>创维75A9H</t>
  </si>
  <si>
    <t>亮度（鲜艳模式）</t>
  </si>
  <si>
    <t>全白场亮度</t>
  </si>
  <si>
    <t>黑场亮度(关LD）</t>
  </si>
  <si>
    <t>瞬态峰值亮度（10%窗口）</t>
  </si>
  <si>
    <t>3052（珊婷测试数值）</t>
  </si>
  <si>
    <t>Real Scene</t>
  </si>
  <si>
    <r>
      <rPr>
        <color theme="10"/>
        <rFont val="default"/>
        <u/>
        <sz val="12"/>
      </rPr>
      <t xml:space="preserve">https://www.rtings.com/tv/tests/picture-quality/sdr-peak-brightness#test_619</t>
    </r>
  </si>
  <si>
    <t>色温和色域测试数据</t>
  </si>
  <si>
    <t>色温（80%白场）</t>
  </si>
  <si>
    <t>模式</t>
  </si>
  <si>
    <t>x</t>
  </si>
  <si>
    <t>y</t>
  </si>
  <si>
    <t>Lv</t>
  </si>
  <si>
    <t>T</t>
  </si>
  <si>
    <t>标准模式</t>
  </si>
  <si>
    <t>鲜艳模式</t>
  </si>
  <si>
    <t>电影模式</t>
  </si>
  <si>
    <t>Filmmaker</t>
  </si>
  <si>
    <t>色域（鲜艳）</t>
  </si>
  <si>
    <t>vs sRGB</t>
  </si>
  <si>
    <t>vs NTSC</t>
  </si>
  <si>
    <t>vs BT2020</t>
  </si>
  <si>
    <t>vs DCI-P3</t>
  </si>
  <si>
    <t>颜色</t>
  </si>
  <si>
    <t>CIE1931</t>
  </si>
  <si>
    <t>覆盖率</t>
  </si>
  <si>
    <t>R</t>
  </si>
  <si>
    <t>面积比</t>
  </si>
  <si>
    <t>G</t>
  </si>
  <si>
    <t>CIE1976</t>
  </si>
  <si>
    <t>B</t>
  </si>
  <si/>
  <si>
    <t>红</t>
  </si>
  <si>
    <t>绿</t>
  </si>
  <si>
    <t>蓝</t>
  </si>
  <si>
    <t>屏对比度测试数据</t>
  </si>
  <si>
    <t>标准（开LD）</t>
  </si>
  <si>
    <t>标准（关LD）</t>
  </si>
  <si>
    <t>鲜艳（开LD）</t>
  </si>
  <si>
    <t>鲜艳（关LD）</t>
  </si>
  <si>
    <t>Lv(cd/m²)</t>
  </si>
  <si>
    <t>创维75A9H（BGB-R）- SDR AI模式  LD高  boost高  APL0 亮度50</t>
  </si>
  <si>
    <t>创维75A9H（BGB-R）- SDR AI模式  LD高  boost高  APL0 (亮度默认40？）</t>
  </si>
  <si>
    <t>一阶梯</t>
  </si>
  <si>
    <t>二阶梯</t>
  </si>
  <si>
    <t>三阶梯（稳态）</t>
  </si>
  <si>
    <t>窗口</t>
  </si>
  <si>
    <t>亮度</t>
  </si>
  <si>
    <t>功率</t>
  </si>
  <si>
    <t>持续时间</t>
  </si>
  <si>
    <t>108S</t>
  </si>
  <si>
    <t>116掉到96</t>
  </si>
  <si>
    <t>110S</t>
  </si>
  <si>
    <t>153下降到120</t>
  </si>
  <si>
    <t>200掉到174</t>
  </si>
  <si>
    <t>105S</t>
  </si>
  <si>
    <t>32S</t>
  </si>
  <si>
    <t>122S</t>
  </si>
  <si>
    <t>318掉到295</t>
  </si>
  <si>
    <t>44s</t>
  </si>
  <si>
    <t>130s</t>
  </si>
  <si>
    <t>362-358</t>
  </si>
  <si>
    <t>40S</t>
  </si>
  <si>
    <t>196S</t>
  </si>
  <si>
    <t>318掉到301</t>
  </si>
  <si>
    <t>200S</t>
  </si>
  <si>
    <t>131s</t>
  </si>
  <si>
    <t>创维75A9H（BGB-R）- HDR AI模式  LD高  boost高  APL0</t>
  </si>
  <si>
    <t>30S</t>
  </si>
  <si>
    <t>130S</t>
  </si>
  <si>
    <t>测试条件: SDR 标准模式下不同颜色100%~10%、5%、2%、1% 窗口测试数据</t>
  </si>
  <si>
    <t>白</t>
  </si>
  <si>
    <t>品红</t>
  </si>
  <si>
    <t>黄</t>
  </si>
  <si>
    <t>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</si>
</sst>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_ "/>
    <numFmt numFmtId="165" formatCode="0.00000_ "/>
    <numFmt numFmtId="166" formatCode="0.000000000000000_ "/>
  </numFmts>
  <fonts count="2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name val="微软雅黑"/>
    </font>
    <font>
      <sz val="11"/>
      <name val="宋体"/>
    </font>
    <font>
      <b/>
      <sz val="12"/>
    </font>
    <font>
      <sz val="10"/>
      <name val="Microsoft YaHei"/>
    </font>
    <font>
      <b/>
      <sz val="11"/>
      <name val="微软雅黑"/>
    </font>
    <font>
      <sz val="12"/>
      <name val="default"/>
    </font>
    <font>
      <sz val="11"/>
      <name val="Microsoft YaHei"/>
    </font>
    <font>
      <b/>
      <sz val="10"/>
    </font>
    <font>
      <b/>
      <sz val="11"/>
      <name val="Microsoft YaHei"/>
    </font>
    <font>
      <sz val="10"/>
      <name val="微软雅黑"/>
    </font>
    <font>
      <sz val="10"/>
      <name val="default"/>
    </font>
    <font>
      <u/>
      <sz val="12"/>
      <color rgb="FF800080"/>
      <name val="default"/>
    </font>
    <font>
      <b/>
      <sz val="10"/>
      <name val="微软雅黑"/>
    </font>
    <font>
      <sz val="12"/>
      <name val="Microsoft YaHei"/>
    </font>
    <font>
      <b/>
      <sz val="14"/>
    </font>
    <font>
      <sz val="10"/>
      <color rgb="FFFE0300"/>
    </font>
  </fonts>
  <fills count="10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00FFD9"/>
      </patternFill>
    </fill>
    <fill>
      <patternFill patternType="solid">
        <fgColor rgb="FFFFFFFF"/>
      </patternFill>
    </fill>
    <fill>
      <patternFill patternType="solid">
        <fgColor rgb="FFFE0300"/>
      </patternFill>
    </fill>
    <fill>
      <patternFill patternType="solid">
        <fgColor rgb="FF92D04F"/>
      </patternFill>
    </fill>
    <fill>
      <patternFill patternType="solid">
        <fgColor rgb="FFFB00FF"/>
      </patternFill>
    </fill>
    <fill>
      <patternFill patternType="solid">
        <fgColor rgb="FF04B0F1"/>
      </patternFill>
    </fill>
    <fill>
      <patternFill patternType="solid">
        <fgColor rgb="FFFEFF00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dashed">
        <color rgb="FF000000"/>
      </right>
      <top style="medium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medium">
        <color rgb="FF000000"/>
      </bottom>
      <diagonal/>
    </border>
    <border>
      <left style="medium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 style="dashed">
        <color rgb="FF000000"/>
      </right>
      <top style="dashed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dashed">
        <color rgb="FF000000"/>
      </bottom>
      <diagonal/>
    </border>
    <border>
      <left style="dashed">
        <color rgb="FF000000"/>
      </left>
      <right style="medium">
        <color rgb="FF000000"/>
      </right>
      <top style="dashed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dashed">
        <color rgb="FF000000"/>
      </left>
      <right style="medium">
        <color rgb="FF000000"/>
      </right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dashed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/>
      <diagonal/>
    </border>
    <border>
      <left style="thin">
        <color rgb="FF000000"/>
      </left>
      <right style="dashed">
        <color rgb="FF000000"/>
      </right>
      <top/>
      <bottom/>
      <diagonal/>
    </border>
    <border>
      <left style="thin">
        <color rgb="FF000000"/>
      </left>
      <right style="dashed">
        <color rgb="FF000000"/>
      </right>
      <top/>
      <bottom style="dashed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horizontal="center" vertical="center"/>
    </xf>
    <xf numFmtId="0" fontId="6" fillId="0" borderId="0" xfId="0" applyFont="1">
      <alignment vertical="center"/>
    </xf>
    <xf numFmtId="0" fontId="7" fillId="0" borderId="1" xfId="0" applyFont="1" applyBorder="1" applyProtection="1">
      <alignment vertical="top"/>
    </xf>
    <xf numFmtId="0" fontId="8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8" fillId="0" borderId="2" xfId="0" applyFont="1" applyBorder="1" applyProtection="1">
      <alignment vertical="center"/>
    </xf>
    <xf numFmtId="0" fontId="4" fillId="0" borderId="3" xfId="0" applyFont="1" applyBorder="1" applyProtection="1">
      <alignment horizontal="left" vertical="top"/>
    </xf>
    <xf numFmtId="0" fontId="4" fillId="0" borderId="3" xfId="0" applyFont="1" applyBorder="1" applyProtection="1">
      <alignment horizontal="left" vertical="center"/>
    </xf>
    <xf numFmtId="0" fontId="9" fillId="0" borderId="0" xfId="0" applyFont="1">
      <alignment horizontal="center" vertical="center"/>
    </xf>
    <xf numFmtId="0" fontId="4" fillId="0" borderId="4" xfId="0" applyFont="1" applyBorder="1" applyProtection="1">
      <alignment horizontal="left" vertical="center"/>
    </xf>
    <xf numFmtId="0" fontId="8" fillId="0" borderId="5" xfId="0" applyFont="1" applyBorder="1" applyProtection="1">
      <alignment vertical="center"/>
    </xf>
    <xf numFmtId="0" fontId="10" fillId="0" borderId="6" xfId="0" applyFont="1" applyBorder="1" applyProtection="1">
      <alignment horizontal="center" vertical="center"/>
    </xf>
    <xf numFmtId="0" fontId="7" fillId="0" borderId="7" xfId="0" applyFont="1" applyBorder="1" applyProtection="1">
      <alignment vertical="center"/>
    </xf>
    <xf numFmtId="0" fontId="7" fillId="0" borderId="6" xfId="0" applyFont="1" applyBorder="1" applyProtection="1">
      <alignment vertical="center"/>
    </xf>
    <xf numFmtId="0" fontId="10" fillId="0" borderId="8" xfId="0" applyFont="1" applyBorder="1" applyProtection="1">
      <alignment vertical="center"/>
    </xf>
    <xf numFmtId="0" fontId="6" fillId="0" borderId="0" xfId="0" applyFont="1">
      <alignment horizontal="center" vertical="center"/>
    </xf>
    <xf numFmtId="0" fontId="4" fillId="0" borderId="9" xfId="0" applyFont="1" applyBorder="1" applyProtection="1">
      <alignment vertical="center"/>
    </xf>
    <xf numFmtId="0" fontId="4" fillId="0" borderId="5" xfId="0" applyFont="1" applyBorder="1" applyProtection="1">
      <alignment horizontal="center" vertical="top"/>
    </xf>
    <xf numFmtId="0" fontId="11" fillId="0" borderId="3" xfId="0" applyFont="1" applyBorder="1" applyProtection="1">
      <alignment horizontal="right" vertical="center"/>
    </xf>
    <xf numFmtId="0" fontId="8" fillId="0" borderId="3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8" fillId="0" borderId="10" xfId="0" applyFont="1" applyBorder="1" applyProtection="1">
      <alignment horizontal="center" vertical="center"/>
    </xf>
    <xf numFmtId="0" fontId="12" fillId="0" borderId="5" xfId="0" applyFont="1" applyBorder="1" applyProtection="1">
      <alignment horizontal="center" vertical="top"/>
    </xf>
    <xf numFmtId="0" fontId="11" fillId="0" borderId="10" xfId="0" applyFont="1" applyBorder="1" applyProtection="1">
      <alignment vertical="center"/>
    </xf>
    <xf numFmtId="9" fontId="4" fillId="0" borderId="0" xfId="0" applyNumberFormat="1" applyFont="1">
      <alignment horizontal="center" vertical="center"/>
    </xf>
    <xf numFmtId="0" fontId="11" fillId="0" borderId="3" xfId="0" applyFont="1" applyBorder="1" applyProtection="1">
      <alignment vertical="center"/>
    </xf>
    <xf numFmtId="0" fontId="13" fillId="0" borderId="4" xfId="0" applyFont="1" applyBorder="1" applyProtection="1">
      <alignment vertical="center"/>
    </xf>
    <xf numFmtId="0" fontId="4" fillId="0" borderId="11" xfId="0" applyFont="1" applyBorder="1" applyProtection="1">
      <alignment vertical="center"/>
    </xf>
    <xf numFmtId="0" fontId="4" fillId="0" borderId="0" xfId="0" applyFont="1">
      <alignment vertical="center" wrapText="1"/>
    </xf>
    <xf numFmtId="0" fontId="13" fillId="0" borderId="8" xfId="0" applyFont="1" applyBorder="1" applyProtection="1">
      <alignment vertical="center"/>
    </xf>
    <xf numFmtId="0" fontId="8" fillId="0" borderId="12" xfId="0" applyFont="1" applyBorder="1" applyProtection="1">
      <alignment vertical="center"/>
    </xf>
    <xf numFmtId="3" fontId="8" fillId="0" borderId="5" xfId="0" applyNumberFormat="1" applyFont="1" applyBorder="1" applyProtection="1">
      <alignment horizontal="center" vertical="center"/>
    </xf>
    <xf numFmtId="0" fontId="4" fillId="0" borderId="13" xfId="0" applyFont="1" applyBorder="1" applyProtection="1">
      <alignment vertical="center"/>
    </xf>
    <xf numFmtId="0" fontId="12" fillId="0" borderId="5" xfId="0" applyFont="1" applyBorder="1" applyProtection="1">
      <alignment horizontal="center" vertical="center"/>
    </xf>
    <xf numFmtId="0" fontId="4" fillId="3" borderId="14" xfId="0" applyFont="1" applyFill="1" applyBorder="1" applyProtection="1">
      <alignment horizontal="center" vertical="center"/>
    </xf>
    <xf numFmtId="0" fontId="14" fillId="0" borderId="0" xfId="0" applyFo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4" fillId="0" borderId="3" xfId="0" applyFont="1" applyBorder="1" applyProtection="1">
      <alignment horizontal="center" vertical="top"/>
    </xf>
    <xf numFmtId="0" fontId="10" fillId="0" borderId="0" xfId="0" applyFont="1">
      <alignment horizontal="left" vertical="center"/>
    </xf>
    <xf numFmtId="0" fontId="10" fillId="0" borderId="0" xfId="0" applyFont="1">
      <alignment vertical="center"/>
    </xf>
    <xf numFmtId="0" fontId="12" fillId="0" borderId="10" xfId="0" applyFont="1" applyBorder="1" applyProtection="1">
      <alignment horizontal="center" vertical="center"/>
    </xf>
    <xf numFmtId="0" fontId="4" fillId="0" borderId="10" xfId="0" applyFont="1" applyBorder="1" applyProtection="1">
      <alignment horizontal="center" vertical="top"/>
    </xf>
    <xf numFmtId="0" fontId="16" fillId="0" borderId="0" xfId="0" applyFont="1">
      <alignment vertical="center"/>
    </xf>
    <xf numFmtId="0" fontId="8" fillId="4" borderId="5" xfId="0" applyFont="1" applyFill="1" applyBorder="1" applyProtection="1">
      <alignment horizontal="center" vertical="center"/>
    </xf>
    <xf numFmtId="10" fontId="14" fillId="0" borderId="0" xfId="0" applyNumberFormat="1" applyFont="1">
      <alignment vertical="center"/>
    </xf>
    <xf numFmtId="0" fontId="5" fillId="0" borderId="0" xfId="0" applyFont="1">
      <alignment horizontal="center" vertical="center"/>
    </xf>
    <xf numFmtId="0" fontId="4" fillId="0" borderId="9" xfId="0" applyFont="1" applyBorder="1" applyProtection="1">
      <alignment horizontal="center" vertical="center"/>
    </xf>
    <xf numFmtId="0" fontId="4" fillId="0" borderId="15" xfId="0" applyFont="1" applyBorder="1" applyProtection="1">
      <alignment vertical="center"/>
    </xf>
    <xf numFmtId="0" fontId="5" fillId="2" borderId="14" xfId="0" applyFont="1" applyFill="1" applyBorder="1" applyProtection="1">
      <alignment horizontal="center" vertical="center"/>
    </xf>
    <xf numFmtId="0" fontId="17" fillId="0" borderId="9" xfId="0" applyFont="1" applyBorder="1" applyProtection="1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vertical="center"/>
    </xf>
    <xf numFmtId="0" fontId="4" fillId="0" borderId="12" xfId="0" applyFont="1" applyBorder="1" applyProtection="1">
      <alignment vertical="center"/>
    </xf>
    <xf numFmtId="0" fontId="14" fillId="0" borderId="12" xfId="0" applyFont="1" applyBorder="1" applyProtection="1">
      <alignment vertical="center"/>
    </xf>
    <xf numFmtId="10" fontId="14" fillId="0" borderId="12" xfId="0" applyNumberFormat="1" applyFont="1" applyBorder="1" applyProtection="1">
      <alignment vertical="center"/>
    </xf>
    <xf numFmtId="0" fontId="6" fillId="0" borderId="14" xfId="0" applyFont="1" applyBorder="1" applyProtection="1">
      <alignment vertical="center"/>
    </xf>
    <xf numFmtId="0" fontId="4" fillId="0" borderId="13" xfId="0" applyFont="1" applyBorder="1" applyProtection="1">
      <alignment vertical="center"/>
    </xf>
    <xf numFmtId="0" fontId="17" fillId="0" borderId="15" xfId="0" applyFont="1" applyBorder="1" applyProtection="1">
      <alignment vertical="center"/>
    </xf>
    <xf numFmtId="10" fontId="14" fillId="0" borderId="16" xfId="0" applyNumberFormat="1" applyFont="1" applyBorder="1" applyProtection="1">
      <alignment vertical="center"/>
    </xf>
    <xf numFmtId="10" fontId="14" fillId="0" borderId="17" xfId="0" applyNumberFormat="1" applyFont="1" applyBorder="1" applyProtection="1">
      <alignment vertical="center"/>
    </xf>
    <xf numFmtId="0" fontId="4" fillId="3" borderId="9" xfId="0" applyFont="1" applyFill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0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 wrapText="1"/>
    </xf>
    <xf numFmtId="0" fontId="4" fillId="0" borderId="10" xfId="0" applyFont="1" applyBorder="1" applyProtection="1">
      <alignment horizontal="center" vertical="center" wrapText="1"/>
    </xf>
    <xf numFmtId="0" fontId="4" fillId="0" borderId="2" xfId="0" applyFont="1" applyBorder="1" applyProtection="1">
      <alignment horizontal="center" vertical="center"/>
    </xf>
    <xf numFmtId="0" fontId="4" fillId="0" borderId="8" xfId="0" applyFont="1" applyBorder="1" applyProtection="1">
      <alignment horizontal="center" vertical="center"/>
    </xf>
    <xf numFmtId="0" fontId="4" fillId="0" borderId="12" xfId="0" applyFont="1" applyBorder="1" applyProtection="1">
      <alignment horizontal="center" vertical="center"/>
    </xf>
    <xf numFmtId="0" fontId="4" fillId="0" borderId="14" xfId="0" applyFont="1" applyBorder="1" applyProtection="1">
      <alignment horizontal="center" vertical="center"/>
    </xf>
    <xf numFmtId="0" fontId="4" fillId="0" borderId="11" xfId="0" applyFont="1" applyBorder="1" applyProtection="1">
      <alignment horizontal="center" vertical="center"/>
    </xf>
    <xf numFmtId="9" fontId="4" fillId="0" borderId="11" xfId="0" applyNumberFormat="1" applyFont="1" applyBorder="1" applyProtection="1">
      <alignment horizontal="center" vertical="center"/>
    </xf>
    <xf numFmtId="9" fontId="4" fillId="0" borderId="13" xfId="0" applyNumberFormat="1" applyFont="1" applyBorder="1" applyProtection="1">
      <alignment horizontal="center" vertical="center"/>
    </xf>
    <xf numFmtId="0" fontId="4" fillId="0" borderId="15" xfId="0" applyFont="1" applyBorder="1" applyProtection="1">
      <alignment horizontal="center" vertical="center"/>
    </xf>
    <xf numFmtId="0" fontId="10" fillId="0" borderId="1" xfId="0" applyFont="1" applyBorder="1" applyProtection="1">
      <alignment horizontal="left" vertical="center"/>
    </xf>
    <xf numFmtId="0" fontId="4" fillId="0" borderId="16" xfId="0" applyFont="1" applyBorder="1" applyProtection="1">
      <alignment horizontal="center" vertical="center"/>
    </xf>
    <xf numFmtId="0" fontId="4" fillId="0" borderId="17" xfId="0" applyFont="1" applyBorder="1" applyProtection="1">
      <alignment horizontal="center" vertical="center"/>
    </xf>
    <xf numFmtId="0" fontId="4" fillId="3" borderId="15" xfId="0" applyFont="1" applyFill="1" applyBorder="1" applyProtection="1">
      <alignment horizontal="center" vertical="center"/>
    </xf>
    <xf numFmtId="0" fontId="4" fillId="5" borderId="14" xfId="0" applyFont="1" applyFill="1" applyBorder="1" applyProtection="1">
      <alignment horizontal="center" vertical="center"/>
    </xf>
    <xf numFmtId="0" fontId="10" fillId="0" borderId="7" xfId="0" applyFont="1" applyBorder="1" applyProtection="1">
      <alignment horizontal="left" vertical="center"/>
    </xf>
    <xf numFmtId="0" fontId="4" fillId="5" borderId="9" xfId="0" applyFont="1" applyFill="1" applyBorder="1" applyProtection="1">
      <alignment horizontal="center" vertical="center"/>
    </xf>
    <xf numFmtId="0" fontId="4" fillId="5" borderId="15" xfId="0" applyFont="1" applyFill="1" applyBorder="1" applyProtection="1">
      <alignment horizontal="center" vertical="center"/>
    </xf>
    <xf numFmtId="4" fontId="18" fillId="0" borderId="10" xfId="0" applyNumberFormat="1" applyFont="1" applyBorder="1" applyProtection="1">
      <alignment vertical="center"/>
    </xf>
    <xf numFmtId="0" fontId="4" fillId="6" borderId="14" xfId="0" applyFont="1" applyFill="1" applyBorder="1" applyProtection="1">
      <alignment horizontal="center" vertical="center"/>
    </xf>
    <xf numFmtId="0" fontId="4" fillId="6" borderId="9" xfId="0" applyFont="1" applyFill="1" applyBorder="1" applyProtection="1">
      <alignment horizontal="center" vertical="center"/>
    </xf>
    <xf numFmtId="0" fontId="4" fillId="6" borderId="15" xfId="0" applyFont="1" applyFill="1" applyBorder="1" applyProtection="1">
      <alignment horizontal="center" vertical="center"/>
    </xf>
    <xf numFmtId="0" fontId="4" fillId="7" borderId="14" xfId="0" applyFont="1" applyFill="1" applyBorder="1" applyProtection="1">
      <alignment horizontal="center" vertical="center"/>
    </xf>
    <xf numFmtId="0" fontId="4" fillId="8" borderId="14" xfId="0" applyFont="1" applyFill="1" applyBorder="1" applyProtection="1">
      <alignment horizontal="center" vertical="center"/>
    </xf>
    <xf numFmtId="0" fontId="4" fillId="8" borderId="9" xfId="0" applyFont="1" applyFill="1" applyBorder="1" applyProtection="1">
      <alignment horizontal="center" vertical="center"/>
    </xf>
    <xf numFmtId="0" fontId="10" fillId="0" borderId="5" xfId="0" applyFont="1" applyBorder="1" applyProtection="1">
      <alignment vertical="center"/>
    </xf>
    <xf numFmtId="0" fontId="10" fillId="0" borderId="3" xfId="0" applyFont="1" applyBorder="1" applyProtection="1">
      <alignment vertical="center"/>
    </xf>
    <xf numFmtId="0" fontId="10" fillId="0" borderId="4" xfId="0" applyFont="1" applyBorder="1" applyProtection="1">
      <alignment vertical="center"/>
    </xf>
    <xf numFmtId="0" fontId="10" fillId="0" borderId="2" xfId="0" applyFont="1" applyBorder="1" applyProtection="1">
      <alignment vertical="center"/>
    </xf>
    <xf numFmtId="0" fontId="8" fillId="0" borderId="18" xfId="0" applyFont="1" applyBorder="1" applyProtection="1">
      <alignment vertical="center"/>
    </xf>
    <xf numFmtId="0" fontId="4" fillId="8" borderId="15" xfId="0" applyFont="1" applyFill="1" applyBorder="1" applyProtection="1">
      <alignment horizontal="center" vertical="center"/>
    </xf>
    <xf numFmtId="0" fontId="4" fillId="0" borderId="9" xfId="0" applyFont="1" applyBorder="1" applyProtection="1">
      <alignment vertical="center"/>
    </xf>
    <xf numFmtId="0" fontId="4" fillId="7" borderId="9" xfId="0" applyFont="1" applyFill="1" applyBorder="1" applyProtection="1">
      <alignment horizontal="center" vertical="center"/>
    </xf>
    <xf numFmtId="0" fontId="4" fillId="0" borderId="12" xfId="0" applyFont="1" applyBorder="1" applyProtection="1">
      <alignment vertical="center"/>
    </xf>
    <xf numFmtId="0" fontId="19" fillId="0" borderId="14" xfId="0" applyFont="1" applyBorder="1" applyProtection="1">
      <alignment horizontal="left" vertical="center"/>
    </xf>
    <xf numFmtId="0" fontId="19" fillId="0" borderId="9" xfId="0" applyFont="1" applyBorder="1" applyProtection="1">
      <alignment horizontal="left" vertical="center"/>
    </xf>
    <xf numFmtId="0" fontId="19" fillId="0" borderId="9" xfId="0" applyFont="1" applyBorder="1" applyProtection="1">
      <alignment horizontal="center" vertical="center"/>
    </xf>
    <xf numFmtId="0" fontId="5" fillId="0" borderId="12" xfId="0" applyFont="1" applyBorder="1" applyProtection="1">
      <alignment vertical="center"/>
    </xf>
    <xf numFmtId="0" fontId="4" fillId="7" borderId="15" xfId="0" applyFont="1" applyFill="1" applyBorder="1" applyProtection="1">
      <alignment horizontal="center" vertical="center"/>
    </xf>
    <xf numFmtId="0" fontId="4" fillId="9" borderId="14" xfId="0" applyFont="1" applyFill="1" applyBorder="1" applyProtection="1">
      <alignment horizontal="center" vertical="center"/>
    </xf>
    <xf numFmtId="0" fontId="9" fillId="0" borderId="14" xfId="0" applyFont="1" applyBorder="1" applyProtection="1">
      <alignment horizontal="center" vertical="center"/>
    </xf>
    <xf numFmtId="0" fontId="5" fillId="0" borderId="11" xfId="0" applyFont="1" applyBorder="1" applyProtection="1">
      <alignment vertical="center"/>
    </xf>
    <xf numFmtId="0" fontId="10" fillId="0" borderId="11" xfId="0" applyFont="1" applyBorder="1" applyProtection="1">
      <alignment horizontal="center" vertical="center"/>
    </xf>
    <xf numFmtId="0" fontId="4" fillId="0" borderId="11" xfId="0" applyFont="1" applyBorder="1" applyProtection="1">
      <alignment vertical="center"/>
    </xf>
    <xf numFmtId="0" fontId="4" fillId="9" borderId="9" xfId="0" applyFont="1" applyFill="1" applyBorder="1" applyProtection="1">
      <alignment horizontal="center" vertical="center"/>
    </xf>
    <xf numFmtId="0" fontId="4" fillId="9" borderId="15" xfId="0" applyFont="1" applyFill="1" applyBorder="1" applyProtection="1">
      <alignment horizontal="center" vertical="center"/>
    </xf>
    <xf numFmtId="0" fontId="5" fillId="0" borderId="16" xfId="0" applyFont="1" applyBorder="1" applyProtection="1">
      <alignment horizontal="center" vertical="center"/>
    </xf>
    <xf numFmtId="0" fontId="5" fillId="0" borderId="16" xfId="0" applyFont="1" applyBorder="1" applyProtection="1">
      <alignment vertical="center"/>
    </xf>
    <xf numFmtId="0" fontId="20" fillId="0" borderId="0" xfId="0" applyFont="1">
      <alignment horizontal="center" vertical="center"/>
    </xf>
    <xf numFmtId="0" fontId="18" fillId="0" borderId="10" xfId="0" applyFont="1" applyBorder="1" applyProtection="1">
      <alignment vertical="center"/>
    </xf>
    <xf numFmtId="0" fontId="8" fillId="0" borderId="19" xfId="0" applyFont="1" applyBorder="1" applyProtection="1">
      <alignment horizontal="center" vertical="center"/>
    </xf>
    <xf numFmtId="0" fontId="8" fillId="0" borderId="20" xfId="0" applyFont="1" applyBorder="1" applyProtection="1">
      <alignment vertical="center"/>
    </xf>
    <xf numFmtId="0" fontId="4" fillId="0" borderId="21" xfId="0" applyFont="1" applyBorder="1" applyProtection="1">
      <alignment vertical="center"/>
    </xf>
    <xf numFmtId="0" fontId="10" fillId="0" borderId="22" xfId="0" applyFont="1" applyBorder="1" applyProtection="1">
      <alignment horizontal="center" vertical="center"/>
    </xf>
    <xf numFmtId="0" fontId="6" fillId="0" borderId="12" xfId="0" applyFont="1" applyBorder="1" applyProtection="1">
      <alignment vertical="center"/>
    </xf>
    <xf numFmtId="0" fontId="6" fillId="0" borderId="16" xfId="0" applyFont="1" applyBorder="1" applyProtection="1">
      <alignment vertical="center"/>
    </xf>
    <xf numFmtId="0" fontId="6" fillId="0" borderId="17" xfId="0" applyFont="1" applyBorder="1" applyProtection="1">
      <alignment vertical="center"/>
    </xf>
    <xf numFmtId="164" fontId="4" fillId="0" borderId="0" xfId="0" applyNumberFormat="1" applyFont="1">
      <alignment horizontal="center" vertical="center"/>
    </xf>
    <xf numFmtId="164" fontId="4" fillId="0" borderId="16" xfId="0" applyNumberFormat="1" applyFont="1" applyBorder="1" applyProtection="1">
      <alignment horizontal="center" vertical="center"/>
    </xf>
    <xf numFmtId="0" fontId="5" fillId="0" borderId="17" xfId="0" applyFont="1" applyBorder="1" applyProtection="1">
      <alignment vertical="center"/>
    </xf>
    <xf numFmtId="164" fontId="4" fillId="0" borderId="12" xfId="0" applyNumberFormat="1" applyFont="1" applyBorder="1" applyProtection="1">
      <alignment horizontal="center" vertical="center"/>
    </xf>
    <xf numFmtId="0" fontId="18" fillId="0" borderId="16" xfId="0" applyFont="1" applyBorder="1" applyProtection="1">
      <alignment vertical="center"/>
    </xf>
    <xf numFmtId="164" fontId="4" fillId="0" borderId="17" xfId="0" applyNumberFormat="1" applyFont="1" applyBorder="1" applyProtection="1">
      <alignment horizontal="center" vertical="center"/>
    </xf>
    <xf numFmtId="165" fontId="4" fillId="0" borderId="0" xfId="0" applyNumberFormat="1" applyFont="1">
      <alignment horizontal="center" vertical="center"/>
    </xf>
    <xf numFmtId="165" fontId="4" fillId="0" borderId="16" xfId="0" applyNumberFormat="1" applyFont="1" applyBorder="1" applyProtection="1">
      <alignment horizontal="center" vertical="center"/>
    </xf>
    <xf numFmtId="165" fontId="4" fillId="0" borderId="12" xfId="0" applyNumberFormat="1" applyFont="1" applyBorder="1" applyProtection="1">
      <alignment horizontal="center" vertical="center"/>
    </xf>
    <xf numFmtId="165" fontId="4" fillId="0" borderId="17" xfId="0" applyNumberFormat="1" applyFont="1" applyBorder="1" applyProtection="1">
      <alignment horizontal="center" vertical="center"/>
    </xf>
    <xf numFmtId="166" fontId="4" fillId="0" borderId="0" xfId="0" applyNumberFormat="1" applyFont="1">
      <alignment vertical="center"/>
    </xf>
    <xf numFmtId="166" fontId="4" fillId="0" borderId="0" xfId="0" applyNumberFormat="1" applyFont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4" fillId="0" borderId="23" xfId="0" applyFont="1" applyBorder="1" applyProtection="1">
      <alignment vertical="center"/>
    </xf>
    <xf numFmtId="0" fontId="5" fillId="0" borderId="24" xfId="0" applyFont="1" applyBorder="1" applyProtection="1">
      <alignment vertical="center"/>
    </xf>
    <xf numFmtId="0" fontId="5" fillId="0" borderId="24" xfId="0" applyFont="1" applyBorder="1" applyProtection="1">
      <alignment horizontal="center" vertical="center"/>
    </xf>
    <xf numFmtId="0" fontId="5" fillId="0" borderId="25" xfId="0" applyFont="1" applyBorder="1" applyProtection="1">
      <alignment vertical="center"/>
    </xf>
    <xf numFmtId="0" fontId="9" fillId="0" borderId="26" xfId="0" applyFont="1" applyBorder="1" applyProtection="1">
      <alignment horizontal="center" vertical="center"/>
    </xf>
    <xf numFmtId="0" fontId="4" fillId="0" borderId="27" xfId="0" applyFont="1" applyBorder="1" applyProtection="1">
      <alignment vertical="center"/>
    </xf>
    <xf numFmtId="0" fontId="5" fillId="0" borderId="28" xfId="0" applyFont="1" applyBorder="1" applyProtection="1">
      <alignment vertical="center"/>
    </xf>
    <xf numFmtId="0" fontId="5" fillId="0" borderId="5" xfId="0" applyFont="1" applyBorder="1" applyProtection="1">
      <alignment vertical="center"/>
    </xf>
    <xf numFmtId="0" fontId="5" fillId="0" borderId="5" xfId="0" applyFont="1" applyBorder="1" applyProtection="1">
      <alignment horizontal="center" vertical="center"/>
    </xf>
    <xf numFmtId="0" fontId="4" fillId="0" borderId="5" xfId="0" applyFont="1" applyBorder="1" applyProtection="1">
      <alignment vertical="center"/>
    </xf>
    <xf numFmtId="0" fontId="5" fillId="0" borderId="29" xfId="0" applyFont="1" applyBorder="1" applyProtection="1">
      <alignment vertical="center"/>
    </xf>
    <xf numFmtId="0" fontId="4" fillId="0" borderId="29" xfId="0" applyFont="1" applyBorder="1" applyProtection="1">
      <alignment vertical="center"/>
    </xf>
    <xf numFmtId="0" fontId="10" fillId="0" borderId="30" xfId="0" applyFont="1" applyBorder="1" applyProtection="1">
      <alignment horizontal="center" vertical="center"/>
    </xf>
    <xf numFmtId="0" fontId="4" fillId="0" borderId="31" xfId="0" applyFont="1" applyBorder="1" applyProtection="1">
      <alignment vertical="center"/>
    </xf>
    <xf numFmtId="0" fontId="4" fillId="0" borderId="32" xfId="0" applyFont="1" applyBorder="1" applyProtection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2" Type="http://schemas.openxmlformats.org/officeDocument/2006/relationships/worksheet" Target="worksheets/sheet2.xml"/><Relationship Id="rId9" Type="http://schemas.openxmlformats.org/officeDocument/2006/relationships/styles" Target="styles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
    xmlns="http://schemas.openxmlformats.org/package/2006/relationships"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95250</xdr:colOff>
      <xdr:row>15</xdr:row>
      <xdr:rowOff>0</xdr:rowOff>
    </xdr:from>
    <xdr:ext cx="3190875" cy="24384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9</xdr:col>
      <xdr:colOff>38100</xdr:colOff>
      <xdr:row>16</xdr:row>
      <xdr:rowOff>25400</xdr:rowOff>
    </xdr:from>
    <xdr:ext cx="2971800" cy="19812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</xdr:row>
      <xdr:rowOff>114300</xdr:rowOff>
    </xdr:from>
    <xdr:ext cx="2971800" cy="1590675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6</xdr:col>
      <xdr:colOff>38100</xdr:colOff>
      <xdr:row>1</xdr:row>
      <xdr:rowOff>76200</xdr:rowOff>
    </xdr:from>
    <xdr:ext cx="2971800" cy="1666875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11</xdr:col>
      <xdr:colOff>38100</xdr:colOff>
      <xdr:row>1</xdr:row>
      <xdr:rowOff>95250</xdr:rowOff>
    </xdr:from>
    <xdr:ext cx="2971800" cy="16383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www.rtings.com/tv/tests/picture-quality/sdr-peak-brightness#test_619" TargetMode="External"/></Relationships>
</file>

<file path=xl/worksheets/_rels/sheet2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23.373046875" customWidth="1"/>
    <col min="2" max="2" width="29.4375" customWidth="1"/>
    <col min="3" max="3" width="23.4990234375" customWidth="1"/>
    <col min="4" max="4" width="16.125" customWidth="1"/>
    <col min="6" max="6" width="16.7490234375" customWidth="1"/>
  </cols>
  <sheetData>
    <row r="1" ht="16.5" customHeight="1">
      <c r="A1" s="46" t="s">
        <v>0</v>
      </c>
      <c r="B1" s="47"/>
      <c r="C1" s="47"/>
      <c r="D1" s="47"/>
      <c r="E1" s="44"/>
    </row>
    <row r="2" ht="16.5" customHeight="1">
      <c r="A2" s="81"/>
      <c r="B2" s="86"/>
      <c r="C2" s="18" t="s">
        <v>1</v>
      </c>
      <c r="D2" s="46"/>
      <c r="E2" s="44"/>
    </row>
    <row r="3" ht="18" customHeight="1">
      <c r="A3" s="140" t="s">
        <v>2</v>
      </c>
      <c r="B3" s="96" t="s">
        <v>3</v>
      </c>
      <c r="C3" s="89" t="n">
        <v>503</v>
      </c>
      <c r="D3" s="47"/>
      <c r="E3" s="44"/>
    </row>
    <row r="4" ht="18" customHeight="1">
      <c r="A4" s="97"/>
      <c r="B4" s="96" t="s">
        <v>4</v>
      </c>
      <c r="C4" s="120" t="n">
        <v>0.4795373</v>
      </c>
      <c r="D4" s="47"/>
      <c r="E4" s="44"/>
    </row>
    <row r="5" ht="18" customHeight="1">
      <c r="A5" s="97"/>
      <c r="B5" s="96" t="s">
        <v>5</v>
      </c>
      <c r="C5" s="132" t="s">
        <v>6</v>
      </c>
      <c r="D5" s="47"/>
      <c r="E5" s="44"/>
    </row>
    <row r="6" ht="16.5" customHeight="1">
      <c r="A6" s="98"/>
      <c r="B6" s="99" t="s">
        <v>7</v>
      </c>
      <c r="C6" s="21" t="n">
        <v>698.29285</v>
      </c>
      <c r="D6" s="50" t="s">
        <v>8</v>
      </c>
      <c r="E6" s="44"/>
    </row>
  </sheetData>
  <mergeCells count="2">
    <mergeCell ref="A3:A6"/>
    <mergeCell ref="A1:D1"/>
  </mergeCells>
  <phoneticPr fontId="1" type="noConversion"/>
  <hyperlinks>
    <hyperlink ref="D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7.748046875" customWidth="1"/>
    <col min="2" max="2" width="14.625" customWidth="1"/>
    <col min="3" max="3" width="15.123046875" customWidth="1"/>
    <col min="4" max="4" width="15.873046875" customWidth="1"/>
    <col min="5" max="5" width="14.4990234375" customWidth="1"/>
    <col min="6" max="6" width="14.373046875" customWidth="1"/>
    <col min="7" max="7" width="10.248046875" customWidth="1"/>
  </cols>
  <sheetData>
    <row r="1" ht="16.5" customHeight="1">
      <c r="A1" s="6" t="s">
        <v>9</v>
      </c>
    </row>
    <row r="2" ht="7.5" customHeight="1">
      <c r="A2" s="10"/>
      <c r="B2" s="10"/>
      <c r="C2" s="10"/>
      <c r="D2" s="10"/>
      <c r="E2" s="10"/>
      <c r="F2" s="10"/>
      <c r="G2" s="7"/>
    </row>
    <row r="3" ht="16.5" customHeight="1">
      <c r="A3" s="145" t="s">
        <v>10</v>
      </c>
      <c r="B3" s="146"/>
      <c r="C3" s="146"/>
      <c r="D3" s="146"/>
      <c r="E3" s="146"/>
      <c r="F3" s="141"/>
      <c r="G3" s="7"/>
    </row>
    <row r="4" ht="16.5" customHeight="1">
      <c r="A4" s="147"/>
      <c r="B4" s="148" t="s">
        <v>11</v>
      </c>
      <c r="C4" s="149" t="s">
        <v>12</v>
      </c>
      <c r="D4" s="149" t="s">
        <v>13</v>
      </c>
      <c r="E4" s="149" t="s">
        <v>14</v>
      </c>
      <c r="F4" s="143" t="s">
        <v>15</v>
      </c>
      <c r="G4" s="7"/>
    </row>
    <row r="5" ht="16.5" customHeight="1">
      <c r="A5" s="153" t="s">
        <v>1</v>
      </c>
      <c r="B5" s="148" t="s">
        <v>16</v>
      </c>
      <c r="C5" s="148" t="n">
        <v>0.29216814927544</v>
      </c>
      <c r="D5" s="148" t="n">
        <v>0.277825888279993</v>
      </c>
      <c r="E5" s="148" t="n">
        <v>517.76044</v>
      </c>
      <c r="F5" s="142" t="n">
        <v>9270.46837224329</v>
      </c>
      <c r="G5" s="7"/>
    </row>
    <row r="6" ht="16.5" customHeight="1">
      <c r="A6" s="154"/>
      <c r="B6" s="148" t="s">
        <v>17</v>
      </c>
      <c r="C6" s="148" t="n">
        <v>0.27535648126221</v>
      </c>
      <c r="D6" s="148" t="n">
        <v>0.258500091867856</v>
      </c>
      <c r="E6" s="148" t="n">
        <v>621.92572</v>
      </c>
      <c r="F6" s="142" t="n">
        <v>13922.9036134411</v>
      </c>
      <c r="G6" s="7"/>
    </row>
    <row r="7" ht="16.5" customHeight="1">
      <c r="A7" s="154"/>
      <c r="B7" s="148" t="s">
        <v>18</v>
      </c>
      <c r="C7" s="150" t="n">
        <v>0.318921578872147</v>
      </c>
      <c r="D7" s="148" t="n">
        <v>0.308935907646263</v>
      </c>
      <c r="E7" s="148" t="n">
        <v>411.32956</v>
      </c>
      <c r="F7" s="142" t="n">
        <v>6289.83438668334</v>
      </c>
      <c r="G7" s="7"/>
    </row>
    <row r="8" ht="16.5" customHeight="1">
      <c r="A8" s="155"/>
      <c r="B8" s="151" t="s">
        <v>19</v>
      </c>
      <c r="C8" s="152" t="n">
        <v>0.320348672562209</v>
      </c>
      <c r="D8" s="151" t="n">
        <v>0.32938521667299</v>
      </c>
      <c r="E8" s="151" t="n">
        <v>347.35181</v>
      </c>
      <c r="F8" s="144" t="n">
        <v>6098.19773870816</v>
      </c>
      <c r="G8" s="7"/>
    </row>
    <row r="9" ht="16.5" customHeight="1">
      <c r="A9" s="22"/>
      <c r="B9" s="5"/>
      <c r="C9" s="5"/>
      <c r="D9" s="5"/>
      <c r="E9" s="5"/>
      <c r="F9" s="5"/>
      <c r="G9" s="7"/>
    </row>
    <row r="11" ht="16.5" customHeight="1">
      <c r="A11" s="111" t="s">
        <v>20</v>
      </c>
      <c r="B11" s="23"/>
      <c r="C11" s="23"/>
      <c r="D11" s="55"/>
      <c r="E11" s="15"/>
      <c r="F11" s="63"/>
      <c r="G11" s="102"/>
      <c r="H11" s="102"/>
      <c r="I11" s="57" t="s">
        <v>21</v>
      </c>
      <c r="J11" s="57" t="s">
        <v>22</v>
      </c>
      <c r="K11" s="57" t="s">
        <v>23</v>
      </c>
      <c r="L11" s="65" t="s">
        <v>24</v>
      </c>
    </row>
    <row r="12" ht="16.5" customHeight="1">
      <c r="A12" s="112"/>
      <c r="B12" s="10" t="s">
        <v>25</v>
      </c>
      <c r="C12" s="53" t="s">
        <v>12</v>
      </c>
      <c r="D12" s="117" t="s">
        <v>13</v>
      </c>
      <c r="E12" s="53"/>
      <c r="F12" s="113" t="s">
        <v>1</v>
      </c>
      <c r="G12" s="42" t="s">
        <v>26</v>
      </c>
      <c r="H12" s="43" t="s">
        <v>27</v>
      </c>
      <c r="I12" s="52" t="n">
        <v>1</v>
      </c>
      <c r="J12" s="52" t="n">
        <v>0.983</v>
      </c>
      <c r="K12" s="52" t="n">
        <v>0.885</v>
      </c>
      <c r="L12" s="66" t="n">
        <v>0.958</v>
      </c>
    </row>
    <row r="13" ht="16.5" customHeight="1">
      <c r="A13" s="113" t="s">
        <v>1</v>
      </c>
      <c r="B13" s="10" t="s">
        <v>28</v>
      </c>
      <c r="C13" s="10" t="n">
        <v>0.689712055838766</v>
      </c>
      <c r="D13" s="118" t="n">
        <v>0.302593207880314</v>
      </c>
      <c r="E13" s="10"/>
      <c r="F13" s="34"/>
      <c r="G13" s="59"/>
      <c r="H13" s="43" t="s">
        <v>29</v>
      </c>
      <c r="I13" s="52" t="n">
        <v>1.725</v>
      </c>
      <c r="J13" s="52" t="n">
        <v>1.222</v>
      </c>
      <c r="K13" s="52" t="n">
        <v>0.912</v>
      </c>
      <c r="L13" s="66" t="n">
        <v>1.272</v>
      </c>
    </row>
    <row r="14" ht="16.5" customHeight="1">
      <c r="A14" s="114"/>
      <c r="B14" s="10" t="s">
        <v>30</v>
      </c>
      <c r="C14" s="10" t="n">
        <v>0.168121803701687</v>
      </c>
      <c r="D14" s="118" t="n">
        <v>0.752496229642794</v>
      </c>
      <c r="E14" s="10"/>
      <c r="F14" s="34"/>
      <c r="G14" s="42" t="s">
        <v>31</v>
      </c>
      <c r="H14" s="43" t="s">
        <v>27</v>
      </c>
      <c r="I14" s="52" t="n">
        <v>0.998</v>
      </c>
      <c r="J14" s="52" t="n">
        <v>0.968</v>
      </c>
      <c r="K14" s="52" t="n">
        <v>0.9</v>
      </c>
      <c r="L14" s="66" t="n">
        <v>0.98</v>
      </c>
    </row>
    <row r="15" ht="16.5" customHeight="1">
      <c r="A15" s="39"/>
      <c r="B15" s="108" t="s">
        <v>32</v>
      </c>
      <c r="C15" s="108" t="n">
        <v>0.155036191321005</v>
      </c>
      <c r="D15" s="130" t="n">
        <v>0.0226547375026865</v>
      </c>
      <c r="E15" s="10"/>
      <c r="F15" s="64"/>
      <c r="G15" s="60"/>
      <c r="H15" s="61" t="s">
        <v>29</v>
      </c>
      <c r="I15" s="62" t="n">
        <v>1.769</v>
      </c>
      <c r="J15" s="62" t="n">
        <v>1.542</v>
      </c>
      <c r="K15" s="62" t="n">
        <v>1.026</v>
      </c>
      <c r="L15" s="67" t="n">
        <v>1.409</v>
      </c>
    </row>
    <row r="16" ht="16.5" customHeight="1">
      <c r="A16" s="22"/>
      <c r="B16" s="22"/>
      <c r="C16" s="22"/>
      <c r="D16" s="22"/>
      <c r="E16" s="22"/>
      <c r="F16" s="22" t="s">
        <v>33</v>
      </c>
      <c r="J16" s="4" t="s">
        <v>33</v>
      </c>
    </row>
  </sheetData>
  <mergeCells count="12">
    <mergeCell ref="A3:F3"/>
    <mergeCell ref="A9:F9"/>
    <mergeCell ref="A11:D11"/>
    <mergeCell ref="A1:G1"/>
    <mergeCell ref="A13:A15"/>
    <mergeCell ref="F11:H11"/>
    <mergeCell ref="G12:G13"/>
    <mergeCell ref="G14:G15"/>
    <mergeCell ref="F12:F15"/>
    <mergeCell ref="F16:I27"/>
    <mergeCell ref="J16:M27"/>
    <mergeCell ref="A5:A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B1" s="58" t="s">
        <v>34</v>
      </c>
      <c r="C1" s="58"/>
      <c r="D1" s="58"/>
      <c r="E1" s="58"/>
      <c r="G1" s="58" t="s">
        <v>35</v>
      </c>
      <c r="H1" s="58"/>
      <c r="I1" s="58"/>
      <c r="J1" s="58"/>
      <c r="L1" s="58" t="s">
        <v>36</v>
      </c>
      <c r="M1" s="58"/>
      <c r="N1" s="58"/>
      <c r="O1" s="58"/>
    </row>
    <row r="2" ht="16.5" customHeight="1">
      <c r="B2" s="4" t="s">
        <v>33</v>
      </c>
      <c r="G2" s="4" t="s">
        <v>33</v>
      </c>
      <c r="L2" s="4" t="s">
        <v>33</v>
      </c>
    </row>
  </sheetData>
  <mergeCells count="6">
    <mergeCell ref="B2:E10"/>
    <mergeCell ref="G2:J10"/>
    <mergeCell ref="L2:O10"/>
    <mergeCell ref="B1:E1"/>
    <mergeCell ref="G1:J1"/>
    <mergeCell ref="L1:O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8.9990234375" customWidth="1"/>
    <col min="2" max="2" width="1.3740234375" customWidth="1"/>
    <col min="3" max="3" width="18.75" customWidth="1"/>
    <col min="4" max="4" width="2.4990234375" customWidth="1"/>
    <col min="5" max="5" width="17.748046875" customWidth="1"/>
    <col min="6" max="6" width="0.873046875" customWidth="1"/>
    <col min="7" max="7" width="18" customWidth="1"/>
    <col min="8" max="8" width="2.4990234375" customWidth="1"/>
  </cols>
  <sheetData>
    <row r="1" ht="16.5" customHeight="1">
      <c r="A1" s="56" t="s">
        <v>37</v>
      </c>
      <c r="B1" s="23"/>
      <c r="C1" s="23"/>
      <c r="D1" s="23"/>
      <c r="E1" s="23"/>
      <c r="F1" s="23"/>
      <c r="G1" s="23"/>
      <c r="H1" s="23"/>
    </row>
    <row r="2" ht="16.5" customHeight="1">
      <c r="A2" s="124" t="s">
        <v>1</v>
      </c>
      <c r="B2" s="123"/>
      <c r="C2" s="123"/>
      <c r="D2" s="123"/>
      <c r="E2" s="123"/>
      <c r="F2" s="123"/>
      <c r="G2" s="123"/>
      <c r="H2" s="123"/>
    </row>
    <row r="3" ht="16.5" customHeight="1">
      <c r="A3" s="100" t="s">
        <v>38</v>
      </c>
      <c r="B3" s="121"/>
      <c r="C3" s="122" t="s">
        <v>39</v>
      </c>
      <c r="D3" s="11"/>
      <c r="E3" s="100" t="s">
        <v>40</v>
      </c>
      <c r="F3" s="121"/>
      <c r="G3" s="122" t="s">
        <v>41</v>
      </c>
    </row>
    <row r="4" ht="16.5" customHeight="1">
      <c r="A4" s="26" t="s">
        <v>42</v>
      </c>
      <c r="B4" s="17"/>
      <c r="C4" s="28" t="s">
        <v>42</v>
      </c>
      <c r="D4" s="11"/>
      <c r="E4" s="26" t="s">
        <v>42</v>
      </c>
      <c r="F4" s="17"/>
      <c r="G4" s="28" t="s">
        <v>42</v>
      </c>
    </row>
    <row r="5" ht="16.5" customHeight="1">
      <c r="A5" s="25" t="n">
        <v>597.29852</v>
      </c>
      <c r="B5" s="17"/>
      <c r="C5" s="30" t="n">
        <v>441.64334</v>
      </c>
      <c r="D5" s="11"/>
      <c r="E5" s="32" t="n">
        <v>738.755</v>
      </c>
      <c r="F5" s="17"/>
      <c r="G5" s="30" t="n">
        <v>541.88824</v>
      </c>
    </row>
    <row r="6" ht="16.5" customHeight="1">
      <c r="A6" s="32" t="n">
        <v>0.3102608</v>
      </c>
      <c r="B6" s="17"/>
      <c r="C6" s="30" t="n">
        <v>0.3724546</v>
      </c>
      <c r="D6" s="11"/>
      <c r="E6" s="32" t="n">
        <v>0.3690038</v>
      </c>
      <c r="F6" s="17"/>
      <c r="G6" s="30" t="n">
        <v>0.5231197</v>
      </c>
    </row>
    <row r="7" ht="16.5" customHeight="1">
      <c r="A7" s="32" t="n">
        <v>0.3573177</v>
      </c>
      <c r="B7" s="17"/>
      <c r="C7" s="30" t="n">
        <v>0.4495388</v>
      </c>
      <c r="D7" s="11"/>
      <c r="E7" s="32" t="n">
        <v>0.4025771</v>
      </c>
      <c r="F7" s="17"/>
      <c r="G7" s="30" t="n">
        <v>0.4610899</v>
      </c>
    </row>
    <row r="8" ht="16.5" customHeight="1">
      <c r="A8" s="32" t="n">
        <v>0.3656642</v>
      </c>
      <c r="B8" s="17"/>
      <c r="C8" s="30" t="n">
        <v>0.452594</v>
      </c>
      <c r="D8" s="11"/>
      <c r="E8" s="32" t="n">
        <v>0.4106006</v>
      </c>
      <c r="F8" s="17"/>
      <c r="G8" s="30" t="n">
        <v>0.5441384</v>
      </c>
    </row>
    <row r="9" ht="16.5" customHeight="1">
      <c r="A9" s="32" t="n">
        <v>0.3491894</v>
      </c>
      <c r="B9" s="17"/>
      <c r="C9" s="30" t="n">
        <v>0.4340636</v>
      </c>
      <c r="D9" s="11"/>
      <c r="E9" s="32" t="n">
        <v>0.4299522</v>
      </c>
      <c r="F9" s="17"/>
      <c r="G9" s="30" t="n">
        <v>0.5122761</v>
      </c>
    </row>
    <row r="10" ht="16.5" customHeight="1">
      <c r="A10" s="32" t="n">
        <f>AVERAGE(A6:A9)</f>
        <v>0.345608025</v>
      </c>
      <c r="B10" s="17"/>
      <c r="C10" s="30" t="n">
        <f>AVERAGE(C6:C9)</f>
        <v>0.42716275</v>
      </c>
      <c r="D10" s="11"/>
      <c r="E10" s="32" t="n">
        <f>AVERAGE(E6:E9)</f>
        <v>0.403033425</v>
      </c>
      <c r="F10" s="17"/>
      <c r="G10" s="30" t="n">
        <f>AVERAGE(G6:G9)</f>
        <v>0.510156025</v>
      </c>
    </row>
    <row r="11" ht="16.5" customHeight="1">
      <c r="A11" s="33" t="n">
        <f>A5/A10</f>
        <v>1728.25419780111</v>
      </c>
      <c r="B11" s="12"/>
      <c r="C11" s="36" t="n">
        <f>C5/C10</f>
        <v>1033.89946805989</v>
      </c>
      <c r="D11" s="37"/>
      <c r="E11" s="33" t="n">
        <f>E5/E10</f>
        <v>1832.98692906178</v>
      </c>
      <c r="F11" s="12"/>
      <c r="G11" s="36" t="n">
        <f>G5/G10</f>
        <v>1062.20100017441</v>
      </c>
      <c r="H11" s="104"/>
    </row>
    <row r="12" ht="16.5" customHeight="1">
      <c r="A12" s="9"/>
      <c r="B12" s="9"/>
      <c r="C12" s="9"/>
    </row>
  </sheetData>
  <mergeCells count="4">
    <mergeCell ref="B3:B11"/>
    <mergeCell ref="F3:F11"/>
    <mergeCell ref="A1:H1"/>
    <mergeCell ref="A2:H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0" style="11"/>
    <col min="2" max="2" width="8.373046875" customWidth="1" style="11"/>
    <col min="3" max="3" width="10.875" customWidth="1" style="11"/>
    <col min="4" max="4" width="8.748046875" customWidth="1" style="11"/>
    <col min="5" max="5" width="10.998046875" customWidth="1"/>
    <col min="6" max="6" width="10.248046875" customWidth="1"/>
    <col min="7" max="7" width="9.375" customWidth="1"/>
    <col min="8" max="8" width="10.875" customWidth="1"/>
    <col min="9" max="9" width="14.748046875" customWidth="1"/>
    <col min="10" max="15" width="18.375" customWidth="1"/>
  </cols>
  <sheetData>
    <row r="1" ht="16.5" customHeight="1">
      <c r="A1" s="8" t="s">
        <v>43</v>
      </c>
      <c r="B1" s="19"/>
      <c r="C1" s="19"/>
      <c r="D1" s="19"/>
      <c r="E1" s="19"/>
      <c r="F1" s="19"/>
      <c r="G1" s="19"/>
      <c r="H1" s="19"/>
      <c r="I1" s="20"/>
      <c r="K1" s="8" t="s">
        <v>44</v>
      </c>
      <c r="L1" s="19"/>
      <c r="M1" s="19"/>
      <c r="N1" s="19"/>
      <c r="O1" s="19"/>
      <c r="P1" s="19"/>
      <c r="Q1" s="19"/>
      <c r="R1" s="19"/>
      <c r="S1" s="20"/>
    </row>
    <row r="2" ht="16.5" customHeight="1">
      <c r="A2" s="45"/>
      <c r="B2" s="29" t="s">
        <v>45</v>
      </c>
      <c r="C2" s="40"/>
      <c r="D2" s="40"/>
      <c r="E2" s="29" t="s">
        <v>46</v>
      </c>
      <c r="F2" s="40"/>
      <c r="G2" s="40"/>
      <c r="H2" s="29" t="s">
        <v>47</v>
      </c>
      <c r="I2" s="48"/>
      <c r="K2" s="45"/>
      <c r="L2" s="29" t="s">
        <v>45</v>
      </c>
      <c r="M2" s="40"/>
      <c r="N2" s="40"/>
      <c r="O2" s="29" t="s">
        <v>46</v>
      </c>
      <c r="P2" s="40"/>
      <c r="Q2" s="40"/>
      <c r="R2" s="29" t="s">
        <v>47</v>
      </c>
      <c r="S2" s="48"/>
    </row>
    <row r="3" ht="16.5" customHeight="1">
      <c r="A3" s="13" t="s">
        <v>48</v>
      </c>
      <c r="B3" s="24" t="s">
        <v>49</v>
      </c>
      <c r="C3" s="24" t="s">
        <v>50</v>
      </c>
      <c r="D3" s="24" t="s">
        <v>51</v>
      </c>
      <c r="E3" s="24" t="s">
        <v>49</v>
      </c>
      <c r="F3" s="24" t="s">
        <v>50</v>
      </c>
      <c r="G3" s="24" t="s">
        <v>51</v>
      </c>
      <c r="H3" s="24" t="s">
        <v>49</v>
      </c>
      <c r="I3" s="49" t="s">
        <v>50</v>
      </c>
      <c r="K3" s="13" t="s">
        <v>48</v>
      </c>
      <c r="L3" s="24" t="s">
        <v>49</v>
      </c>
      <c r="M3" s="24" t="s">
        <v>50</v>
      </c>
      <c r="N3" s="24" t="s">
        <v>51</v>
      </c>
      <c r="O3" s="24" t="s">
        <v>49</v>
      </c>
      <c r="P3" s="24" t="s">
        <v>50</v>
      </c>
      <c r="Q3" s="24" t="s">
        <v>51</v>
      </c>
      <c r="R3" s="24" t="s">
        <v>49</v>
      </c>
      <c r="S3" s="49" t="s">
        <v>50</v>
      </c>
    </row>
    <row r="4" ht="16.5" customHeight="1">
      <c r="A4" s="13" t="n">
        <v>0.02</v>
      </c>
      <c r="B4" s="69"/>
      <c r="C4" s="69"/>
      <c r="D4" s="40"/>
      <c r="E4" s="69" t="n">
        <v>117</v>
      </c>
      <c r="F4" s="69" t="n">
        <v>107</v>
      </c>
      <c r="G4" s="40" t="s">
        <v>52</v>
      </c>
      <c r="H4" s="69" t="n">
        <v>1302</v>
      </c>
      <c r="I4" s="70" t="n">
        <v>87</v>
      </c>
      <c r="K4" s="13" t="n">
        <v>0.02</v>
      </c>
      <c r="L4" s="69"/>
      <c r="M4" s="69"/>
      <c r="N4" s="40"/>
      <c r="O4" s="69" t="n">
        <v>1213</v>
      </c>
      <c r="P4" s="51" t="s">
        <v>53</v>
      </c>
      <c r="Q4" s="40" t="s">
        <v>52</v>
      </c>
      <c r="R4" s="69" t="n">
        <v>886</v>
      </c>
      <c r="S4" s="70" t="n">
        <v>80</v>
      </c>
    </row>
    <row r="5" ht="16.5" customHeight="1">
      <c r="A5" s="13" t="n">
        <v>0.05</v>
      </c>
      <c r="B5" s="38"/>
      <c r="C5" s="51"/>
      <c r="D5" s="40"/>
      <c r="E5" s="71" t="n">
        <v>2104</v>
      </c>
      <c r="F5" s="51" t="n">
        <v>171</v>
      </c>
      <c r="G5" s="40" t="s">
        <v>54</v>
      </c>
      <c r="H5" s="71" t="n">
        <v>1412</v>
      </c>
      <c r="I5" s="72" t="s">
        <v>55</v>
      </c>
      <c r="K5" s="13" t="n">
        <v>0.05</v>
      </c>
      <c r="L5" s="38"/>
      <c r="M5" s="51"/>
      <c r="N5" s="40"/>
      <c r="O5" s="71" t="n">
        <v>1984</v>
      </c>
      <c r="P5" s="51" t="s">
        <v>56</v>
      </c>
      <c r="Q5" s="40" t="s">
        <v>57</v>
      </c>
      <c r="R5" s="71" t="n">
        <v>1270</v>
      </c>
      <c r="S5" s="72" t="n">
        <v>120</v>
      </c>
    </row>
    <row r="6" ht="16.5" customHeight="1">
      <c r="A6" s="13" t="n">
        <v>0.1</v>
      </c>
      <c r="B6" s="38" t="n">
        <v>2303</v>
      </c>
      <c r="C6" s="51" t="n">
        <v>290</v>
      </c>
      <c r="D6" s="40" t="s">
        <v>58</v>
      </c>
      <c r="E6" s="71" t="n">
        <v>1918</v>
      </c>
      <c r="F6" s="71" t="n">
        <v>247</v>
      </c>
      <c r="G6" s="40" t="s">
        <v>59</v>
      </c>
      <c r="H6" s="71" t="n">
        <v>1488</v>
      </c>
      <c r="I6" s="72" t="n">
        <v>176</v>
      </c>
      <c r="K6" s="13" t="n">
        <v>0.1</v>
      </c>
      <c r="L6" s="38" t="n">
        <v>2415</v>
      </c>
      <c r="M6" s="51" t="s">
        <v>60</v>
      </c>
      <c r="N6" s="40" t="s">
        <v>61</v>
      </c>
      <c r="O6" s="71" t="n">
        <v>1920</v>
      </c>
      <c r="P6" s="71" t="n">
        <v>245</v>
      </c>
      <c r="Q6" s="40" t="s">
        <v>62</v>
      </c>
      <c r="R6" s="71" t="n">
        <v>1463</v>
      </c>
      <c r="S6" s="72" t="n">
        <v>177</v>
      </c>
    </row>
    <row r="7" ht="16.5" customHeight="1">
      <c r="A7" s="13" t="n">
        <v>0.15</v>
      </c>
      <c r="B7" s="27" t="n">
        <v>2153</v>
      </c>
      <c r="C7" s="51" t="s">
        <v>63</v>
      </c>
      <c r="D7" s="40" t="s">
        <v>64</v>
      </c>
      <c r="E7" s="69" t="n">
        <v>1706</v>
      </c>
      <c r="F7" s="69" t="n">
        <v>300</v>
      </c>
      <c r="G7" s="40" t="s">
        <v>65</v>
      </c>
      <c r="H7" s="69" t="n">
        <v>1406</v>
      </c>
      <c r="I7" s="70" t="n">
        <v>221</v>
      </c>
      <c r="K7" s="13" t="n">
        <v>0.15</v>
      </c>
      <c r="L7" s="27" t="n">
        <v>1765</v>
      </c>
      <c r="M7" s="51" t="s">
        <v>66</v>
      </c>
      <c r="N7" s="40" t="s">
        <v>64</v>
      </c>
      <c r="O7" s="69" t="n">
        <v>1414</v>
      </c>
      <c r="P7" s="69" t="n">
        <v>254</v>
      </c>
      <c r="Q7" s="40" t="s">
        <v>67</v>
      </c>
      <c r="R7" s="69" t="n">
        <v>1160</v>
      </c>
      <c r="S7" s="70" t="n">
        <v>190</v>
      </c>
    </row>
    <row r="8" ht="16.5" customHeight="1">
      <c r="A8" s="13" t="n">
        <v>0.2</v>
      </c>
      <c r="B8" s="69"/>
      <c r="C8" s="51"/>
      <c r="D8" s="40"/>
      <c r="E8" s="69" t="n">
        <v>1600</v>
      </c>
      <c r="F8" s="51" t="n">
        <v>341</v>
      </c>
      <c r="G8" s="40" t="s">
        <v>68</v>
      </c>
      <c r="H8" s="69" t="n">
        <v>1455</v>
      </c>
      <c r="I8" s="70" t="n">
        <v>273</v>
      </c>
      <c r="K8" s="13" t="n">
        <v>0.2</v>
      </c>
      <c r="L8" s="69"/>
      <c r="M8" s="51"/>
      <c r="N8" s="40"/>
      <c r="O8" s="69" t="n">
        <v>1303</v>
      </c>
      <c r="P8" s="69" t="n">
        <v>287</v>
      </c>
      <c r="Q8" s="40" t="s">
        <v>59</v>
      </c>
      <c r="R8" s="69" t="n">
        <v>1202</v>
      </c>
      <c r="S8" s="70" t="n">
        <v>232</v>
      </c>
    </row>
    <row r="9" ht="16.5" customHeight="1">
      <c r="A9" s="13" t="n">
        <v>0.25</v>
      </c>
      <c r="B9" s="69"/>
      <c r="C9" s="69"/>
      <c r="D9" s="40"/>
      <c r="E9" s="69"/>
      <c r="F9" s="69"/>
      <c r="G9" s="40"/>
      <c r="H9" s="69" t="n">
        <v>1129</v>
      </c>
      <c r="I9" s="70" t="n">
        <v>246</v>
      </c>
      <c r="K9" s="13" t="n">
        <v>0.25</v>
      </c>
      <c r="L9" s="69"/>
      <c r="M9" s="69"/>
      <c r="N9" s="40"/>
      <c r="O9" s="69"/>
      <c r="P9" s="69"/>
      <c r="Q9" s="40"/>
      <c r="R9" s="69" t="n">
        <v>980</v>
      </c>
      <c r="S9" s="70" t="n">
        <v>210</v>
      </c>
    </row>
    <row r="10" ht="16.5" customHeight="1">
      <c r="A10" s="13" t="n">
        <v>0.3</v>
      </c>
      <c r="B10" s="69"/>
      <c r="C10" s="69"/>
      <c r="D10" s="40"/>
      <c r="E10" s="69"/>
      <c r="F10" s="69"/>
      <c r="G10" s="40"/>
      <c r="H10" s="69" t="n">
        <v>1101</v>
      </c>
      <c r="I10" s="70" t="n">
        <v>276</v>
      </c>
      <c r="K10" s="13" t="n">
        <v>0.3</v>
      </c>
      <c r="L10" s="69"/>
      <c r="M10" s="69"/>
      <c r="N10" s="40"/>
      <c r="O10" s="69"/>
      <c r="P10" s="69"/>
      <c r="Q10" s="40"/>
      <c r="R10" s="69"/>
      <c r="S10" s="70"/>
    </row>
    <row r="11" ht="16.5" customHeight="1">
      <c r="A11" s="13" t="n">
        <v>0.35</v>
      </c>
      <c r="B11" s="69"/>
      <c r="C11" s="69"/>
      <c r="D11" s="40"/>
      <c r="E11" s="69"/>
      <c r="F11" s="69"/>
      <c r="G11" s="40"/>
      <c r="H11" s="69" t="n">
        <v>1078</v>
      </c>
      <c r="I11" s="70" t="n">
        <v>317</v>
      </c>
      <c r="K11" s="13" t="n">
        <v>0.35</v>
      </c>
      <c r="L11" s="69"/>
      <c r="M11" s="69"/>
      <c r="N11" s="40"/>
      <c r="O11" s="69"/>
      <c r="P11" s="69"/>
      <c r="Q11" s="40"/>
      <c r="R11" s="69"/>
      <c r="S11" s="70"/>
    </row>
    <row r="12" ht="16.5" customHeight="1">
      <c r="A12" s="14" t="n">
        <v>0.4</v>
      </c>
      <c r="B12" s="69"/>
      <c r="C12" s="69"/>
      <c r="D12" s="69"/>
      <c r="E12" s="69"/>
      <c r="F12" s="69"/>
      <c r="G12" s="69"/>
      <c r="H12" s="69" t="n">
        <v>1050</v>
      </c>
      <c r="I12" s="70" t="n">
        <v>338</v>
      </c>
      <c r="K12" s="14" t="n">
        <v>0.4</v>
      </c>
      <c r="L12" s="69"/>
      <c r="M12" s="69"/>
      <c r="N12" s="69"/>
      <c r="O12" s="69"/>
      <c r="P12" s="69"/>
      <c r="Q12" s="69"/>
      <c r="R12" s="69"/>
      <c r="S12" s="70"/>
    </row>
    <row r="13" ht="16.5" customHeight="1">
      <c r="A13" s="14" t="n">
        <v>0.45</v>
      </c>
      <c r="B13" s="69"/>
      <c r="C13" s="69"/>
      <c r="D13" s="69"/>
      <c r="E13" s="69"/>
      <c r="F13" s="69"/>
      <c r="G13" s="69"/>
      <c r="H13" s="69" t="n">
        <v>946</v>
      </c>
      <c r="I13" s="70" t="n">
        <v>387</v>
      </c>
      <c r="K13" s="14" t="n">
        <v>0.45</v>
      </c>
      <c r="L13" s="69"/>
      <c r="M13" s="69"/>
      <c r="N13" s="69"/>
      <c r="O13" s="69"/>
      <c r="P13" s="69"/>
      <c r="Q13" s="69"/>
      <c r="R13" s="69"/>
      <c r="S13" s="70"/>
    </row>
    <row r="14" ht="16.5" customHeight="1">
      <c r="A14" s="14" t="n">
        <v>0.5</v>
      </c>
      <c r="B14" s="69"/>
      <c r="C14" s="69"/>
      <c r="D14" s="69"/>
      <c r="E14" s="69"/>
      <c r="F14" s="69"/>
      <c r="G14" s="69"/>
      <c r="H14" s="69" t="n">
        <v>901</v>
      </c>
      <c r="I14" s="70" t="n">
        <v>387</v>
      </c>
      <c r="K14" s="14" t="n">
        <v>0.5</v>
      </c>
      <c r="L14" s="69"/>
      <c r="M14" s="69"/>
      <c r="N14" s="69"/>
      <c r="O14" s="69"/>
      <c r="P14" s="69"/>
      <c r="Q14" s="69"/>
      <c r="R14" s="69"/>
      <c r="S14" s="70"/>
    </row>
    <row r="15" ht="16.5" customHeight="1">
      <c r="A15" s="14" t="n">
        <v>0.55</v>
      </c>
      <c r="B15" s="69"/>
      <c r="C15" s="69"/>
      <c r="D15" s="69"/>
      <c r="E15" s="69"/>
      <c r="F15" s="69"/>
      <c r="G15" s="69"/>
      <c r="H15" s="69" t="n">
        <v>805</v>
      </c>
      <c r="I15" s="70" t="n">
        <v>387</v>
      </c>
      <c r="K15" s="14" t="n">
        <v>0.55</v>
      </c>
      <c r="L15" s="69"/>
      <c r="M15" s="69"/>
      <c r="N15" s="69"/>
      <c r="O15" s="69"/>
      <c r="P15" s="69"/>
      <c r="Q15" s="69"/>
      <c r="R15" s="69"/>
      <c r="S15" s="70"/>
    </row>
    <row r="16" ht="16.5" customHeight="1">
      <c r="A16" s="14" t="n">
        <v>0.6</v>
      </c>
      <c r="B16" s="69"/>
      <c r="C16" s="69"/>
      <c r="D16" s="69"/>
      <c r="E16" s="69"/>
      <c r="F16" s="69"/>
      <c r="G16" s="69"/>
      <c r="H16" s="69" t="n">
        <v>757</v>
      </c>
      <c r="I16" s="70" t="n">
        <v>389</v>
      </c>
      <c r="K16" s="14" t="n">
        <v>0.6</v>
      </c>
      <c r="L16" s="69"/>
      <c r="M16" s="69"/>
      <c r="N16" s="69"/>
      <c r="O16" s="69"/>
      <c r="P16" s="69"/>
      <c r="Q16" s="69"/>
      <c r="R16" s="69"/>
      <c r="S16" s="70"/>
    </row>
    <row r="17" ht="16.5" customHeight="1">
      <c r="A17" s="14" t="n">
        <v>0.65</v>
      </c>
      <c r="B17" s="69"/>
      <c r="C17" s="69"/>
      <c r="D17" s="69"/>
      <c r="E17" s="69"/>
      <c r="F17" s="69"/>
      <c r="G17" s="69"/>
      <c r="H17" s="69" t="n">
        <v>708</v>
      </c>
      <c r="I17" s="70" t="n">
        <v>386</v>
      </c>
      <c r="K17" s="14" t="n">
        <v>0.65</v>
      </c>
      <c r="L17" s="69"/>
      <c r="M17" s="69"/>
      <c r="N17" s="69"/>
      <c r="O17" s="69"/>
      <c r="P17" s="69"/>
      <c r="Q17" s="69"/>
      <c r="R17" s="69"/>
      <c r="S17" s="70"/>
    </row>
    <row r="18" ht="16.5" customHeight="1">
      <c r="A18" s="14" t="n">
        <v>0.7</v>
      </c>
      <c r="B18" s="69"/>
      <c r="C18" s="69"/>
      <c r="D18" s="69"/>
      <c r="E18" s="69"/>
      <c r="F18" s="69"/>
      <c r="G18" s="69"/>
      <c r="H18" s="69" t="n">
        <v>670</v>
      </c>
      <c r="I18" s="70" t="n">
        <v>389</v>
      </c>
      <c r="K18" s="14" t="n">
        <v>0.7</v>
      </c>
      <c r="L18" s="69"/>
      <c r="M18" s="69"/>
      <c r="N18" s="69"/>
      <c r="O18" s="69"/>
      <c r="P18" s="69"/>
      <c r="Q18" s="69"/>
      <c r="R18" s="69"/>
      <c r="S18" s="70"/>
    </row>
    <row r="19" ht="16.5" customHeight="1">
      <c r="A19" s="14" t="n">
        <v>0.75</v>
      </c>
      <c r="B19" s="69"/>
      <c r="C19" s="69"/>
      <c r="D19" s="69"/>
      <c r="E19" s="69"/>
      <c r="F19" s="69"/>
      <c r="G19" s="69"/>
      <c r="H19" s="69" t="n">
        <v>550</v>
      </c>
      <c r="I19" s="70" t="n">
        <v>387</v>
      </c>
      <c r="K19" s="14" t="n">
        <v>0.75</v>
      </c>
      <c r="L19" s="69"/>
      <c r="M19" s="69"/>
      <c r="N19" s="69"/>
      <c r="O19" s="69"/>
      <c r="P19" s="69"/>
      <c r="Q19" s="69"/>
      <c r="R19" s="69"/>
      <c r="S19" s="70"/>
    </row>
    <row r="20" ht="16.5" customHeight="1">
      <c r="A20" s="14" t="n">
        <v>0.8</v>
      </c>
      <c r="B20" s="69"/>
      <c r="C20" s="69"/>
      <c r="D20" s="69"/>
      <c r="E20" s="69"/>
      <c r="F20" s="69"/>
      <c r="G20" s="69"/>
      <c r="H20" s="69" t="n">
        <v>519</v>
      </c>
      <c r="I20" s="70" t="n">
        <v>384</v>
      </c>
      <c r="J20" s="35"/>
      <c r="K20" s="14" t="n">
        <v>0.8</v>
      </c>
      <c r="L20" s="69"/>
      <c r="M20" s="69"/>
      <c r="N20" s="69"/>
      <c r="O20" s="69"/>
      <c r="P20" s="69"/>
      <c r="Q20" s="69"/>
      <c r="R20" s="69"/>
      <c r="S20" s="70"/>
    </row>
    <row r="21" ht="16.5" customHeight="1">
      <c r="A21" s="14" t="n">
        <v>0.85</v>
      </c>
      <c r="B21" s="69"/>
      <c r="C21" s="69"/>
      <c r="D21" s="69"/>
      <c r="E21" s="69"/>
      <c r="F21" s="69"/>
      <c r="G21" s="69"/>
      <c r="H21" s="69" t="n">
        <v>510</v>
      </c>
      <c r="I21" s="70" t="n">
        <v>390</v>
      </c>
      <c r="J21" s="35"/>
      <c r="K21" s="14" t="n">
        <v>0.85</v>
      </c>
      <c r="L21" s="69"/>
      <c r="M21" s="69"/>
      <c r="N21" s="69"/>
      <c r="O21" s="69"/>
      <c r="P21" s="69"/>
      <c r="Q21" s="69"/>
      <c r="R21" s="69"/>
      <c r="S21" s="70"/>
    </row>
    <row r="22" ht="16.5" customHeight="1">
      <c r="A22" s="14" t="n">
        <v>0.9</v>
      </c>
      <c r="B22" s="69"/>
      <c r="C22" s="69"/>
      <c r="D22" s="69"/>
      <c r="E22" s="69"/>
      <c r="F22" s="69"/>
      <c r="G22" s="69"/>
      <c r="H22" s="69" t="n">
        <v>500</v>
      </c>
      <c r="I22" s="70" t="n">
        <v>387</v>
      </c>
      <c r="J22" s="35"/>
      <c r="K22" s="14" t="n">
        <v>0.9</v>
      </c>
      <c r="L22" s="69"/>
      <c r="M22" s="69"/>
      <c r="N22" s="69"/>
      <c r="O22" s="69"/>
      <c r="P22" s="69"/>
      <c r="Q22" s="69"/>
      <c r="R22" s="69"/>
      <c r="S22" s="70"/>
    </row>
    <row r="23" ht="16.5" customHeight="1">
      <c r="A23" s="14" t="n">
        <v>0.95</v>
      </c>
      <c r="B23" s="69"/>
      <c r="C23" s="69"/>
      <c r="D23" s="69"/>
      <c r="E23" s="69"/>
      <c r="F23" s="69"/>
      <c r="G23" s="69"/>
      <c r="H23" s="69" t="n">
        <v>501</v>
      </c>
      <c r="I23" s="70" t="n">
        <v>387</v>
      </c>
      <c r="J23" s="35"/>
      <c r="K23" s="14" t="n">
        <v>0.95</v>
      </c>
      <c r="L23" s="69"/>
      <c r="M23" s="69"/>
      <c r="N23" s="69"/>
      <c r="O23" s="69"/>
      <c r="P23" s="69"/>
      <c r="Q23" s="69"/>
      <c r="R23" s="69"/>
      <c r="S23" s="70"/>
    </row>
    <row r="24" ht="16.5" customHeight="1">
      <c r="A24" s="16" t="n">
        <v>1</v>
      </c>
      <c r="B24" s="73"/>
      <c r="C24" s="73"/>
      <c r="D24" s="73"/>
      <c r="E24" s="73"/>
      <c r="F24" s="73"/>
      <c r="G24" s="73"/>
      <c r="H24" s="73" t="n">
        <v>505</v>
      </c>
      <c r="I24" s="74" t="n">
        <v>392</v>
      </c>
      <c r="J24" s="35"/>
      <c r="K24" s="16" t="n">
        <v>1</v>
      </c>
      <c r="L24" s="73"/>
      <c r="M24" s="73"/>
      <c r="N24" s="73"/>
      <c r="O24" s="73"/>
      <c r="P24" s="73"/>
      <c r="Q24" s="73"/>
      <c r="R24" s="73"/>
      <c r="S24" s="74"/>
    </row>
  </sheetData>
  <mergeCells count="8">
    <mergeCell ref="A1:I1"/>
    <mergeCell ref="B2:D2"/>
    <mergeCell ref="E2:G2"/>
    <mergeCell ref="H2:I2"/>
    <mergeCell ref="K1:S1"/>
    <mergeCell ref="L2:N2"/>
    <mergeCell ref="O2:Q2"/>
    <mergeCell ref="R2:S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0" style="11"/>
    <col min="2" max="2" width="10.875" customWidth="1" style="11"/>
    <col min="3" max="3" width="10.248046875" customWidth="1" style="11"/>
    <col min="4" max="4" width="8.748046875" customWidth="1" style="11"/>
    <col min="5" max="5" width="10.3740234375" customWidth="1"/>
    <col min="6" max="6" width="8.625" customWidth="1"/>
    <col min="7" max="7" width="9.375" customWidth="1"/>
    <col min="8" max="8" width="12.2490234375" customWidth="1"/>
    <col min="9" max="9" width="10.5" customWidth="1"/>
    <col min="10" max="18" width="18.375" customWidth="1"/>
  </cols>
  <sheetData>
    <row r="1" ht="16.5" customHeight="1">
      <c r="A1" s="8" t="s">
        <v>69</v>
      </c>
      <c r="B1" s="19"/>
      <c r="C1" s="19"/>
      <c r="D1" s="19"/>
      <c r="E1" s="19"/>
      <c r="F1" s="19"/>
      <c r="G1" s="19"/>
      <c r="H1" s="19"/>
      <c r="I1" s="20"/>
    </row>
    <row r="2" ht="16.5" customHeight="1">
      <c r="A2" s="45"/>
      <c r="B2" s="29" t="s">
        <v>45</v>
      </c>
      <c r="C2" s="40"/>
      <c r="D2" s="40"/>
      <c r="E2" s="29" t="s">
        <v>46</v>
      </c>
      <c r="F2" s="40"/>
      <c r="G2" s="40"/>
      <c r="H2" s="29" t="s">
        <v>47</v>
      </c>
      <c r="I2" s="48"/>
    </row>
    <row r="3" ht="16.5" customHeight="1">
      <c r="A3" s="13" t="s">
        <v>48</v>
      </c>
      <c r="B3" s="24" t="s">
        <v>49</v>
      </c>
      <c r="C3" s="24" t="s">
        <v>50</v>
      </c>
      <c r="D3" s="24" t="s">
        <v>51</v>
      </c>
      <c r="E3" s="24" t="s">
        <v>49</v>
      </c>
      <c r="F3" s="24" t="s">
        <v>50</v>
      </c>
      <c r="G3" s="24" t="s">
        <v>51</v>
      </c>
      <c r="H3" s="24" t="s">
        <v>49</v>
      </c>
      <c r="I3" s="49" t="s">
        <v>50</v>
      </c>
    </row>
    <row r="4" ht="16.5" customHeight="1">
      <c r="A4" s="13" t="n">
        <v>0.02</v>
      </c>
      <c r="B4" s="69"/>
      <c r="C4" s="69"/>
      <c r="D4" s="40"/>
      <c r="E4" s="69"/>
      <c r="F4" s="69"/>
      <c r="G4" s="40"/>
      <c r="H4" s="69"/>
      <c r="I4" s="70"/>
    </row>
    <row r="5" ht="16.5" customHeight="1">
      <c r="A5" s="13" t="n">
        <v>0.05</v>
      </c>
      <c r="B5" s="38"/>
      <c r="C5" s="51"/>
      <c r="D5" s="40"/>
      <c r="E5" s="71"/>
      <c r="F5" s="71"/>
      <c r="G5" s="40"/>
      <c r="H5" s="71"/>
      <c r="I5" s="72"/>
    </row>
    <row r="6" ht="16.5" customHeight="1">
      <c r="A6" s="13" t="n">
        <v>0.1</v>
      </c>
      <c r="B6" s="38" t="n">
        <v>2246</v>
      </c>
      <c r="C6" s="51" t="n">
        <v>294</v>
      </c>
      <c r="D6" s="40" t="s">
        <v>70</v>
      </c>
      <c r="E6" s="71" t="n">
        <v>1790</v>
      </c>
      <c r="F6" s="71" t="n">
        <v>243</v>
      </c>
      <c r="G6" s="40" t="s">
        <v>71</v>
      </c>
      <c r="H6" s="71" t="n">
        <v>1388</v>
      </c>
      <c r="I6" s="72" t="n">
        <v>177</v>
      </c>
    </row>
    <row r="7" ht="16.5" customHeight="1">
      <c r="A7" s="13" t="n">
        <v>0.15</v>
      </c>
      <c r="B7" s="40"/>
      <c r="C7" s="69"/>
      <c r="D7" s="40"/>
      <c r="E7" s="69"/>
      <c r="F7" s="69"/>
      <c r="G7" s="40"/>
      <c r="H7" s="69"/>
      <c r="I7" s="70"/>
    </row>
    <row r="8" ht="16.5" customHeight="1">
      <c r="A8" s="13" t="n">
        <v>0.2</v>
      </c>
      <c r="B8" s="69"/>
      <c r="C8" s="69"/>
      <c r="D8" s="40"/>
      <c r="E8" s="69"/>
      <c r="F8" s="69"/>
      <c r="G8" s="40"/>
      <c r="H8" s="69"/>
      <c r="I8" s="70"/>
    </row>
    <row r="9" ht="16.5" customHeight="1">
      <c r="A9" s="13" t="n">
        <v>0.25</v>
      </c>
      <c r="B9" s="69"/>
      <c r="C9" s="69"/>
      <c r="D9" s="40"/>
      <c r="E9" s="69"/>
      <c r="F9" s="69"/>
      <c r="G9" s="40"/>
      <c r="H9" s="69"/>
      <c r="I9" s="70"/>
    </row>
    <row r="10" ht="16.5" customHeight="1">
      <c r="A10" s="13" t="n">
        <v>0.3</v>
      </c>
      <c r="B10" s="69"/>
      <c r="C10" s="69"/>
      <c r="D10" s="40"/>
      <c r="E10" s="69"/>
      <c r="F10" s="69"/>
      <c r="G10" s="40"/>
      <c r="H10" s="69"/>
      <c r="I10" s="70"/>
    </row>
    <row r="11" ht="16.5" customHeight="1">
      <c r="A11" s="13" t="n">
        <v>0.35</v>
      </c>
      <c r="B11" s="69"/>
      <c r="C11" s="69"/>
      <c r="D11" s="40"/>
      <c r="E11" s="69"/>
      <c r="F11" s="69"/>
      <c r="G11" s="40"/>
      <c r="H11" s="69"/>
      <c r="I11" s="70"/>
    </row>
    <row r="12" ht="16.5" customHeight="1">
      <c r="A12" s="14" t="n">
        <v>0.4</v>
      </c>
      <c r="B12" s="69"/>
      <c r="C12" s="69"/>
      <c r="D12" s="69"/>
      <c r="E12" s="69"/>
      <c r="F12" s="69"/>
      <c r="G12" s="69"/>
      <c r="H12" s="69"/>
      <c r="I12" s="70"/>
    </row>
    <row r="13" ht="16.5" customHeight="1">
      <c r="A13" s="14" t="n">
        <v>0.45</v>
      </c>
      <c r="B13" s="69"/>
      <c r="C13" s="69"/>
      <c r="D13" s="69"/>
      <c r="E13" s="69"/>
      <c r="F13" s="69"/>
      <c r="G13" s="69"/>
      <c r="H13" s="69"/>
      <c r="I13" s="70"/>
    </row>
    <row r="14" ht="16.5" customHeight="1">
      <c r="A14" s="14" t="n">
        <v>0.5</v>
      </c>
      <c r="B14" s="69"/>
      <c r="C14" s="69"/>
      <c r="D14" s="69"/>
      <c r="E14" s="69"/>
      <c r="F14" s="69"/>
      <c r="G14" s="69"/>
      <c r="H14" s="69"/>
      <c r="I14" s="70"/>
    </row>
    <row r="15" ht="16.5" customHeight="1">
      <c r="A15" s="14" t="n">
        <v>0.55</v>
      </c>
      <c r="B15" s="69"/>
      <c r="C15" s="69"/>
      <c r="D15" s="69"/>
      <c r="E15" s="69"/>
      <c r="F15" s="69"/>
      <c r="G15" s="69"/>
      <c r="H15" s="69"/>
      <c r="I15" s="70"/>
    </row>
    <row r="16" ht="16.5" customHeight="1">
      <c r="A16" s="14" t="n">
        <v>0.6</v>
      </c>
      <c r="B16" s="69"/>
      <c r="C16" s="69"/>
      <c r="D16" s="69"/>
      <c r="E16" s="69"/>
      <c r="F16" s="69"/>
      <c r="G16" s="69"/>
      <c r="H16" s="69"/>
      <c r="I16" s="70"/>
    </row>
    <row r="17" ht="16.5" customHeight="1">
      <c r="A17" s="14" t="n">
        <v>0.65</v>
      </c>
      <c r="B17" s="69"/>
      <c r="C17" s="69"/>
      <c r="D17" s="69"/>
      <c r="E17" s="69"/>
      <c r="F17" s="69"/>
      <c r="G17" s="69"/>
      <c r="H17" s="69"/>
      <c r="I17" s="70"/>
    </row>
    <row r="18" ht="16.5" customHeight="1">
      <c r="A18" s="14" t="n">
        <v>0.7</v>
      </c>
      <c r="B18" s="69"/>
      <c r="C18" s="69"/>
      <c r="D18" s="69"/>
      <c r="E18" s="69"/>
      <c r="F18" s="69"/>
      <c r="G18" s="69"/>
      <c r="H18" s="69"/>
      <c r="I18" s="70"/>
    </row>
    <row r="19" ht="16.5" customHeight="1">
      <c r="A19" s="14" t="n">
        <v>0.75</v>
      </c>
      <c r="B19" s="69"/>
      <c r="C19" s="69"/>
      <c r="D19" s="69"/>
      <c r="E19" s="69"/>
      <c r="F19" s="69"/>
      <c r="G19" s="69"/>
      <c r="H19" s="69"/>
      <c r="I19" s="70"/>
    </row>
    <row r="20" ht="16.5" customHeight="1">
      <c r="A20" s="14" t="n">
        <v>0.8</v>
      </c>
      <c r="B20" s="69"/>
      <c r="C20" s="69"/>
      <c r="D20" s="69"/>
      <c r="E20" s="69"/>
      <c r="F20" s="69"/>
      <c r="G20" s="69"/>
      <c r="H20" s="69"/>
      <c r="I20" s="70"/>
      <c r="J20" s="35"/>
      <c r="K20" s="35"/>
      <c r="L20" s="35"/>
      <c r="M20" s="35"/>
      <c r="N20" s="35"/>
      <c r="O20" s="35"/>
      <c r="P20" s="35"/>
      <c r="Q20" s="35"/>
      <c r="R20" s="35"/>
    </row>
    <row r="21" ht="16.5" customHeight="1">
      <c r="A21" s="14" t="n">
        <v>0.85</v>
      </c>
      <c r="B21" s="69"/>
      <c r="C21" s="69"/>
      <c r="D21" s="69"/>
      <c r="E21" s="69"/>
      <c r="F21" s="69"/>
      <c r="G21" s="69"/>
      <c r="H21" s="69"/>
      <c r="I21" s="70"/>
      <c r="J21" s="35"/>
      <c r="K21" s="35"/>
      <c r="L21" s="35"/>
      <c r="M21" s="35"/>
      <c r="N21" s="35"/>
      <c r="O21" s="35"/>
      <c r="P21" s="35"/>
      <c r="Q21" s="35"/>
      <c r="R21" s="35"/>
    </row>
    <row r="22" ht="16.5" customHeight="1">
      <c r="A22" s="14" t="n">
        <v>0.9</v>
      </c>
      <c r="B22" s="69"/>
      <c r="C22" s="69"/>
      <c r="D22" s="69"/>
      <c r="E22" s="69"/>
      <c r="F22" s="69"/>
      <c r="G22" s="69"/>
      <c r="H22" s="69"/>
      <c r="I22" s="70"/>
      <c r="J22" s="35"/>
      <c r="K22" s="35"/>
      <c r="L22" s="35"/>
      <c r="M22" s="35"/>
      <c r="N22" s="35"/>
      <c r="O22" s="35"/>
      <c r="P22" s="35"/>
      <c r="Q22" s="35"/>
      <c r="R22" s="35"/>
    </row>
    <row r="23" ht="16.5" customHeight="1">
      <c r="A23" s="14" t="n">
        <v>0.95</v>
      </c>
      <c r="B23" s="69"/>
      <c r="C23" s="69"/>
      <c r="D23" s="69"/>
      <c r="E23" s="69"/>
      <c r="F23" s="69"/>
      <c r="G23" s="69"/>
      <c r="H23" s="69"/>
      <c r="I23" s="70"/>
      <c r="J23" s="35"/>
      <c r="K23" s="35"/>
      <c r="L23" s="35"/>
      <c r="M23" s="35"/>
      <c r="N23" s="35"/>
      <c r="O23" s="35"/>
      <c r="P23" s="35"/>
      <c r="Q23" s="35"/>
      <c r="R23" s="35"/>
    </row>
    <row r="24" ht="16.5" customHeight="1">
      <c r="A24" s="16" t="n">
        <v>1</v>
      </c>
      <c r="B24" s="73"/>
      <c r="C24" s="73"/>
      <c r="D24" s="73"/>
      <c r="E24" s="73"/>
      <c r="F24" s="73"/>
      <c r="G24" s="73"/>
      <c r="H24" s="73"/>
      <c r="I24" s="74"/>
      <c r="J24" s="35"/>
      <c r="K24" s="35"/>
      <c r="L24" s="35"/>
      <c r="M24" s="35"/>
      <c r="N24" s="35"/>
      <c r="O24" s="35"/>
      <c r="P24" s="35"/>
      <c r="Q24" s="35"/>
      <c r="R24" s="35"/>
    </row>
  </sheetData>
  <mergeCells count="4">
    <mergeCell ref="A1:I1"/>
    <mergeCell ref="B2:D2"/>
    <mergeCell ref="E2:G2"/>
    <mergeCell ref="H2:I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3.875" customWidth="1"/>
    <col min="3" max="3" width="13.998046875" customWidth="1"/>
    <col min="6" max="6" width="13.3740234375" customWidth="1"/>
    <col min="7" max="7" width="15.375" customWidth="1"/>
    <col min="10" max="10" width="15.873046875" customWidth="1"/>
    <col min="11" max="11" width="15.375" customWidth="1"/>
    <col min="15" max="15" width="16.248046875" customWidth="1"/>
    <col min="16" max="16" width="13.7490234375" customWidth="1"/>
  </cols>
  <sheetData>
    <row r="1" ht="19.5" customHeight="1">
      <c r="A1" s="105" t="s">
        <v>72</v>
      </c>
      <c r="B1" s="106"/>
      <c r="C1" s="106"/>
      <c r="D1" s="107"/>
      <c r="E1" s="106"/>
      <c r="F1" s="106"/>
      <c r="G1" s="106"/>
      <c r="H1" s="107"/>
      <c r="I1" s="106"/>
      <c r="J1" s="106"/>
      <c r="K1" s="106"/>
      <c r="L1" s="107"/>
      <c r="M1" s="106"/>
      <c r="N1" s="106"/>
      <c r="O1" s="106"/>
      <c r="P1" s="106"/>
    </row>
    <row r="2" ht="16.5" customHeight="1">
      <c r="A2" s="76" t="s">
        <v>73</v>
      </c>
      <c r="B2" s="54"/>
      <c r="C2" s="80"/>
      <c r="D2" s="58"/>
      <c r="E2" s="85" t="s">
        <v>34</v>
      </c>
      <c r="F2" s="87"/>
      <c r="G2" s="88"/>
      <c r="H2" s="58"/>
      <c r="I2" s="90" t="s">
        <v>35</v>
      </c>
      <c r="J2" s="91"/>
      <c r="K2" s="92"/>
      <c r="L2" s="119"/>
      <c r="N2" s="94" t="s">
        <v>36</v>
      </c>
      <c r="O2" s="95"/>
      <c r="P2" s="101"/>
    </row>
    <row r="3" ht="16.5" customHeight="1">
      <c r="A3" s="77" t="s">
        <v>48</v>
      </c>
      <c r="B3" s="58" t="s">
        <v>12</v>
      </c>
      <c r="C3" s="82" t="s">
        <v>13</v>
      </c>
      <c r="D3" s="58" t="s">
        <v>50</v>
      </c>
      <c r="E3" s="77" t="s">
        <v>48</v>
      </c>
      <c r="F3" s="58" t="s">
        <v>12</v>
      </c>
      <c r="G3" s="82" t="s">
        <v>13</v>
      </c>
      <c r="H3" s="58" t="s">
        <v>50</v>
      </c>
      <c r="I3" s="77" t="s">
        <v>48</v>
      </c>
      <c r="J3" s="58" t="s">
        <v>12</v>
      </c>
      <c r="K3" s="82" t="s">
        <v>13</v>
      </c>
      <c r="L3" s="58" t="s">
        <v>50</v>
      </c>
      <c r="N3" s="77" t="s">
        <v>48</v>
      </c>
      <c r="O3" s="58" t="s">
        <v>12</v>
      </c>
      <c r="P3" s="82" t="s">
        <v>13</v>
      </c>
      <c r="Q3" s="58" t="s">
        <v>50</v>
      </c>
    </row>
    <row r="4" ht="16.5" customHeight="1">
      <c r="A4" s="78" t="n">
        <v>1</v>
      </c>
      <c r="B4" s="128" t="n">
        <v>0.251426353176088</v>
      </c>
      <c r="C4" s="129" t="n">
        <v>0.237045710255551</v>
      </c>
      <c r="D4" s="58" t="n">
        <v>297</v>
      </c>
      <c r="E4" s="78" t="n">
        <v>1</v>
      </c>
      <c r="F4" s="134" t="n">
        <v>0.690149767899171</v>
      </c>
      <c r="G4" s="135" t="n">
        <v>0.302434462044137</v>
      </c>
      <c r="H4" s="58" t="n">
        <v>295</v>
      </c>
      <c r="I4" s="78" t="n">
        <v>1</v>
      </c>
      <c r="J4" s="58" t="n">
        <v>0.690149767899171</v>
      </c>
      <c r="K4" s="82" t="n">
        <v>0.302434462044137</v>
      </c>
      <c r="L4" s="58" t="n">
        <v>298</v>
      </c>
      <c r="N4" s="78" t="n">
        <v>1</v>
      </c>
      <c r="O4" s="58" t="n">
        <v>0.154744406547131</v>
      </c>
      <c r="P4" s="82" t="n">
        <v>0.0228736385763553</v>
      </c>
      <c r="Q4" s="4" t="n">
        <v>295</v>
      </c>
    </row>
    <row r="5" ht="16.5" customHeight="1">
      <c r="A5" s="78" t="n">
        <v>0.9</v>
      </c>
      <c r="B5" s="128" t="n">
        <v>0.25142328477708</v>
      </c>
      <c r="C5" s="129" t="n">
        <v>0.237043775461948</v>
      </c>
      <c r="D5" s="58" t="n">
        <v>298</v>
      </c>
      <c r="E5" s="78" t="n">
        <v>0.9</v>
      </c>
      <c r="F5" s="134" t="n">
        <v>0.690165874716707</v>
      </c>
      <c r="G5" s="135" t="n">
        <v>0.302404974388899</v>
      </c>
      <c r="H5" s="58" t="n">
        <v>294</v>
      </c>
      <c r="I5" s="78" t="n">
        <v>0.9</v>
      </c>
      <c r="J5" s="58" t="n">
        <v>0.690165874716707</v>
      </c>
      <c r="K5" s="82" t="n">
        <v>0.302404974388899</v>
      </c>
      <c r="L5" s="58" t="n">
        <v>296</v>
      </c>
      <c r="N5" s="78" t="n">
        <v>0.9</v>
      </c>
      <c r="O5" s="58" t="n">
        <v>0.154753830125812</v>
      </c>
      <c r="P5" s="82" t="n">
        <v>0.0228596110460785</v>
      </c>
      <c r="Q5" s="4" t="n">
        <v>295</v>
      </c>
    </row>
    <row r="6" ht="16.5" customHeight="1">
      <c r="A6" s="78" t="n">
        <v>0.8</v>
      </c>
      <c r="B6" s="128" t="n">
        <v>0.251239303022841</v>
      </c>
      <c r="C6" s="129" t="n">
        <v>0.237137883197501</v>
      </c>
      <c r="D6" s="58" t="n">
        <v>297</v>
      </c>
      <c r="E6" s="78" t="n">
        <v>0.8</v>
      </c>
      <c r="F6" s="134" t="n">
        <v>0.690136114910509</v>
      </c>
      <c r="G6" s="135" t="n">
        <v>0.302395361773614</v>
      </c>
      <c r="H6" s="58" t="n">
        <v>295</v>
      </c>
      <c r="I6" s="78" t="n">
        <v>0.8</v>
      </c>
      <c r="J6" s="58" t="n">
        <v>0.690136114910509</v>
      </c>
      <c r="K6" s="82" t="n">
        <v>0.302395361773614</v>
      </c>
      <c r="L6" s="58" t="n">
        <v>295</v>
      </c>
      <c r="N6" s="78" t="n">
        <v>0.8</v>
      </c>
      <c r="O6" s="58" t="n">
        <v>0.154767090260721</v>
      </c>
      <c r="P6" s="82" t="n">
        <v>0.022836666935895</v>
      </c>
      <c r="Q6" s="4" t="n">
        <v>296</v>
      </c>
    </row>
    <row r="7" ht="16.5" customHeight="1">
      <c r="A7" s="78" t="n">
        <v>0.7</v>
      </c>
      <c r="B7" s="128" t="n">
        <v>0.249818596085968</v>
      </c>
      <c r="C7" s="129" t="n">
        <v>0.236317718182785</v>
      </c>
      <c r="D7" s="58" t="n">
        <v>296</v>
      </c>
      <c r="E7" s="78" t="n">
        <v>0.7</v>
      </c>
      <c r="F7" s="134" t="n">
        <v>0.689911234178275</v>
      </c>
      <c r="G7" s="135" t="n">
        <v>0.302362115331174</v>
      </c>
      <c r="H7" s="58" t="n">
        <v>294</v>
      </c>
      <c r="I7" s="78" t="n">
        <v>0.7</v>
      </c>
      <c r="J7" s="58" t="n">
        <v>0.689911234178275</v>
      </c>
      <c r="K7" s="82" t="n">
        <v>0.302362115331174</v>
      </c>
      <c r="L7" s="58" t="n">
        <v>296</v>
      </c>
      <c r="N7" s="78" t="n">
        <v>0.7</v>
      </c>
      <c r="O7" s="58" t="n">
        <v>0.154732372249782</v>
      </c>
      <c r="P7" s="82" t="n">
        <v>0.0228718986318859</v>
      </c>
      <c r="Q7" s="4" t="n">
        <v>295</v>
      </c>
    </row>
    <row r="8" ht="16.5" customHeight="1">
      <c r="A8" s="78" t="n">
        <v>0.6</v>
      </c>
      <c r="B8" s="128" t="n">
        <v>0.249096863447264</v>
      </c>
      <c r="C8" s="129" t="n">
        <v>0.235976299006617</v>
      </c>
      <c r="D8" s="58" t="n">
        <v>295</v>
      </c>
      <c r="E8" s="78" t="n">
        <v>0.6</v>
      </c>
      <c r="F8" s="134" t="n">
        <v>0.689772058152063</v>
      </c>
      <c r="G8" s="135" t="n">
        <v>0.302359840264267</v>
      </c>
      <c r="H8" s="58" t="n">
        <v>294</v>
      </c>
      <c r="I8" s="78" t="n">
        <v>0.6</v>
      </c>
      <c r="J8" s="58" t="n">
        <v>0.689772058152063</v>
      </c>
      <c r="K8" s="82" t="n">
        <v>0.302359840264267</v>
      </c>
      <c r="L8" s="58" t="n">
        <v>295</v>
      </c>
      <c r="N8" s="78" t="n">
        <v>0.6</v>
      </c>
      <c r="O8" s="58" t="n">
        <v>0.154704622365868</v>
      </c>
      <c r="P8" s="82" t="n">
        <v>0.0228845780758934</v>
      </c>
      <c r="Q8" s="4" t="n">
        <v>273</v>
      </c>
    </row>
    <row r="9" ht="16.5" customHeight="1">
      <c r="A9" s="78" t="n">
        <v>0.5</v>
      </c>
      <c r="B9" s="128" t="n">
        <v>0.248045961683136</v>
      </c>
      <c r="C9" s="129" t="n">
        <v>0.235708375675509</v>
      </c>
      <c r="D9" s="58" t="n">
        <v>295</v>
      </c>
      <c r="E9" s="78" t="n">
        <v>0.5</v>
      </c>
      <c r="F9" s="134" t="n">
        <v>0.689776007580744</v>
      </c>
      <c r="G9" s="135" t="n">
        <v>0.302369333362516</v>
      </c>
      <c r="H9" s="58" t="n">
        <v>255</v>
      </c>
      <c r="I9" s="78" t="n">
        <v>0.5</v>
      </c>
      <c r="J9" s="58" t="n">
        <v>0.689776007580744</v>
      </c>
      <c r="K9" s="82" t="n">
        <v>0.302369333362516</v>
      </c>
      <c r="L9" s="58" t="n">
        <v>296</v>
      </c>
      <c r="N9" s="78" t="n">
        <v>0.5</v>
      </c>
      <c r="O9" s="58" t="n">
        <v>0.154706328394755</v>
      </c>
      <c r="P9" s="82" t="n">
        <v>0.0228812231432335</v>
      </c>
      <c r="Q9" s="4" t="n">
        <v>238</v>
      </c>
    </row>
    <row r="10" ht="16.5" customHeight="1">
      <c r="A10" s="78" t="n">
        <v>0.4</v>
      </c>
      <c r="B10" s="128" t="n">
        <v>0.247334719330474</v>
      </c>
      <c r="C10" s="129" t="n">
        <v>0.23566541762332</v>
      </c>
      <c r="D10" s="58" t="n">
        <v>281</v>
      </c>
      <c r="E10" s="78" t="n">
        <v>0.4</v>
      </c>
      <c r="F10" s="134" t="n">
        <v>0.68977550363463</v>
      </c>
      <c r="G10" s="135" t="n">
        <v>0.302366003497821</v>
      </c>
      <c r="H10" s="58" t="n">
        <v>215</v>
      </c>
      <c r="I10" s="78" t="n">
        <v>0.4</v>
      </c>
      <c r="J10" s="58" t="n">
        <v>0.68977550363463</v>
      </c>
      <c r="K10" s="82" t="n">
        <v>0.302366003497821</v>
      </c>
      <c r="L10" s="58" t="n">
        <v>285</v>
      </c>
      <c r="N10" s="78" t="n">
        <v>0.4</v>
      </c>
      <c r="O10" s="58" t="n">
        <v>0.154691957422213</v>
      </c>
      <c r="P10" s="82" t="n">
        <v>0.0228831152143467</v>
      </c>
      <c r="Q10" s="4" t="n">
        <v>202</v>
      </c>
    </row>
    <row r="11" ht="16.5" customHeight="1">
      <c r="A11" s="78" t="n">
        <v>0.3</v>
      </c>
      <c r="B11" s="128" t="n">
        <v>0.247533852111579</v>
      </c>
      <c r="C11" s="129" t="n">
        <v>0.23697868276848</v>
      </c>
      <c r="D11" s="58" t="n">
        <v>246</v>
      </c>
      <c r="E11" s="78" t="n">
        <v>0.3</v>
      </c>
      <c r="F11" s="134" t="n">
        <v>0.689771689976254</v>
      </c>
      <c r="G11" s="135" t="n">
        <v>0.302362580247413</v>
      </c>
      <c r="H11" s="58" t="n">
        <v>173</v>
      </c>
      <c r="I11" s="78" t="n">
        <v>0.3</v>
      </c>
      <c r="J11" s="58" t="n">
        <v>0.689771689976254</v>
      </c>
      <c r="K11" s="82" t="n">
        <v>0.302362580247413</v>
      </c>
      <c r="L11" s="58" t="n">
        <v>222</v>
      </c>
      <c r="N11" s="78" t="n">
        <v>0.3</v>
      </c>
      <c r="O11" s="58" t="n">
        <v>0.154691073093161</v>
      </c>
      <c r="P11" s="82" t="n">
        <v>0.0228816316784896</v>
      </c>
      <c r="Q11" s="4" t="n">
        <v>164</v>
      </c>
    </row>
    <row r="12" ht="16.5" customHeight="1">
      <c r="A12" s="78" t="n">
        <v>0.2</v>
      </c>
      <c r="B12" s="128" t="n">
        <v>0.246527853508262</v>
      </c>
      <c r="C12" s="129" t="n">
        <v>0.236265989026118</v>
      </c>
      <c r="D12" s="58" t="n">
        <v>216</v>
      </c>
      <c r="E12" s="78" t="n">
        <v>0.2</v>
      </c>
      <c r="F12" s="134" t="n">
        <v>0.689779829972341</v>
      </c>
      <c r="G12" s="135" t="n">
        <v>0.302365051354962</v>
      </c>
      <c r="H12" s="58" t="n">
        <v>140</v>
      </c>
      <c r="I12" s="78" t="n">
        <v>0.2</v>
      </c>
      <c r="J12" s="58" t="n">
        <v>0.689779829972341</v>
      </c>
      <c r="K12" s="82" t="n">
        <v>0.302365051354962</v>
      </c>
      <c r="L12" s="58" t="n">
        <v>172</v>
      </c>
      <c r="N12" s="78" t="n">
        <v>0.2</v>
      </c>
      <c r="O12" s="58" t="n">
        <v>0.154688795795807</v>
      </c>
      <c r="P12" s="82" t="n">
        <v>0.0228773436237809</v>
      </c>
      <c r="Q12" s="4" t="n">
        <v>131</v>
      </c>
    </row>
    <row r="13" ht="16.5" customHeight="1">
      <c r="A13" s="78" t="n">
        <v>0.1</v>
      </c>
      <c r="B13" s="128" t="n">
        <v>0.244127227221922</v>
      </c>
      <c r="C13" s="129" t="n">
        <v>0.233811298467128</v>
      </c>
      <c r="D13" s="58" t="n">
        <v>153</v>
      </c>
      <c r="E13" s="78" t="n">
        <v>0.1</v>
      </c>
      <c r="F13" s="134" t="n">
        <v>0.689789344866791</v>
      </c>
      <c r="G13" s="135" t="n">
        <v>0.302368581508916</v>
      </c>
      <c r="H13" s="58" t="n">
        <v>95</v>
      </c>
      <c r="I13" s="78" t="n">
        <v>0.1</v>
      </c>
      <c r="J13" s="58" t="n">
        <v>0.689789344866791</v>
      </c>
      <c r="K13" s="82" t="n">
        <v>0.302368581508916</v>
      </c>
      <c r="L13" s="58" t="n">
        <v>112</v>
      </c>
      <c r="N13" s="78" t="n">
        <v>0.1</v>
      </c>
      <c r="O13" s="58" t="n">
        <v>0.154697822891004</v>
      </c>
      <c r="P13" s="82" t="n">
        <v>0.0228616334130925</v>
      </c>
      <c r="Q13" s="4" t="n">
        <v>91</v>
      </c>
    </row>
    <row r="14" ht="16.5" customHeight="1">
      <c r="A14" s="78" t="n">
        <v>0.05</v>
      </c>
      <c r="B14" s="128" t="n">
        <v>0.24478780159871</v>
      </c>
      <c r="C14" s="129" t="n">
        <v>0.235131914156659</v>
      </c>
      <c r="D14" s="58" t="n">
        <v>105</v>
      </c>
      <c r="E14" s="78" t="n">
        <v>0.05</v>
      </c>
      <c r="F14" s="134" t="n">
        <v>0.689814364747124</v>
      </c>
      <c r="G14" s="135" t="n">
        <v>0.302385817549437</v>
      </c>
      <c r="H14" s="58" t="n">
        <v>73</v>
      </c>
      <c r="I14" s="78" t="n">
        <v>0.05</v>
      </c>
      <c r="J14" s="58" t="n">
        <v>0.689814364747124</v>
      </c>
      <c r="K14" s="82" t="n">
        <v>0.302385817549437</v>
      </c>
      <c r="L14" s="58" t="n">
        <v>83</v>
      </c>
      <c r="N14" s="78" t="n">
        <v>0.05</v>
      </c>
      <c r="O14" s="58" t="n">
        <v>0.154720190470191</v>
      </c>
      <c r="P14" s="82" t="n">
        <v>0.0228364344621082</v>
      </c>
      <c r="Q14" s="4" t="n">
        <v>71</v>
      </c>
    </row>
    <row r="15" ht="16.5" customHeight="1">
      <c r="A15" s="78" t="n">
        <v>0.02</v>
      </c>
      <c r="B15" s="128" t="n">
        <v>0.246185342667152</v>
      </c>
      <c r="C15" s="129" t="n">
        <v>0.237590888327681</v>
      </c>
      <c r="D15" s="58" t="n">
        <v>78</v>
      </c>
      <c r="E15" s="78" t="n">
        <v>0.02</v>
      </c>
      <c r="F15" s="134" t="n">
        <v>0.689870768823798</v>
      </c>
      <c r="G15" s="135" t="n">
        <v>0.302392465827514</v>
      </c>
      <c r="H15" s="58" t="n">
        <v>61</v>
      </c>
      <c r="I15" s="78" t="n">
        <v>0.02</v>
      </c>
      <c r="J15" s="58" t="n">
        <v>0.689870768823798</v>
      </c>
      <c r="K15" s="82" t="n">
        <v>0.302392465827514</v>
      </c>
      <c r="L15" s="58" t="n">
        <v>65</v>
      </c>
      <c r="N15" s="78" t="n">
        <v>0.02</v>
      </c>
      <c r="O15" s="58" t="n">
        <v>0.154757353737576</v>
      </c>
      <c r="P15" s="82" t="n">
        <v>0.0227943722041857</v>
      </c>
      <c r="Q15" s="4" t="n">
        <v>59</v>
      </c>
    </row>
    <row r="16" ht="16.5" customHeight="1">
      <c r="A16" s="79" t="n">
        <v>0.01</v>
      </c>
      <c r="B16" s="131" t="n">
        <v>0.249459012060143</v>
      </c>
      <c r="C16" s="133" t="n">
        <v>0.244095703217728</v>
      </c>
      <c r="D16" s="58" t="n">
        <v>68</v>
      </c>
      <c r="E16" s="79" t="n">
        <v>0.01</v>
      </c>
      <c r="F16" s="136" t="n">
        <v>0.689945523973437</v>
      </c>
      <c r="G16" s="137" t="n">
        <v>0.302399375283502</v>
      </c>
      <c r="H16" s="58" t="n">
        <v>56</v>
      </c>
      <c r="I16" s="79" t="n">
        <v>0.01</v>
      </c>
      <c r="J16" s="75" t="n">
        <v>0.689945523973437</v>
      </c>
      <c r="K16" s="83" t="n">
        <v>0.302399375283502</v>
      </c>
      <c r="L16" s="58" t="n">
        <v>58</v>
      </c>
      <c r="N16" s="79" t="n">
        <v>0.01</v>
      </c>
      <c r="O16" s="75" t="n">
        <v>0.154825407107742</v>
      </c>
      <c r="P16" s="83" t="n">
        <v>0.0227410572916655</v>
      </c>
      <c r="Q16" s="4" t="n">
        <v>54</v>
      </c>
    </row>
    <row r="17" ht="16.5" customHeight="1">
      <c r="A17" s="31"/>
      <c r="B17" s="139" t="n">
        <f>B4-B13</f>
        <v>0.00729912595416601</v>
      </c>
      <c r="C17" s="139" t="n">
        <f>C16-C13</f>
        <v>0.0102844047506</v>
      </c>
      <c r="D17" s="139"/>
      <c r="E17" s="138"/>
      <c r="F17" s="138" t="n">
        <f>F5-F8</f>
        <v>0.00039381656464399</v>
      </c>
      <c r="G17" s="138" t="n">
        <f>G4-G7</f>
        <v>7.23467129629674e-5</v>
      </c>
      <c r="H17" s="58"/>
      <c r="J17" s="4" t="n">
        <f>J5-J11</f>
        <v>3.94184740452941e-4</v>
      </c>
      <c r="K17" s="4" t="n">
        <f>K4-K6</f>
        <v>3.9100270523007e-5</v>
      </c>
      <c r="L17" s="58"/>
      <c r="O17" s="4" t="n">
        <f>O16-O11</f>
        <v>1.34334014581017e-4</v>
      </c>
      <c r="P17" s="4" t="n">
        <f>P12-P16</f>
        <v>1.36286332115401e-4</v>
      </c>
    </row>
    <row r="18" ht="16.5" customHeight="1">
      <c r="A18" s="31"/>
      <c r="B18" s="58"/>
      <c r="C18" s="58"/>
      <c r="D18" s="58"/>
      <c r="H18" s="58"/>
      <c r="L18" s="58"/>
    </row>
    <row r="19" ht="16.5" customHeight="1">
      <c r="A19" s="93" t="s">
        <v>74</v>
      </c>
      <c r="B19" s="103"/>
      <c r="C19" s="109"/>
      <c r="D19" s="58"/>
      <c r="E19" s="110" t="s">
        <v>75</v>
      </c>
      <c r="F19" s="115"/>
      <c r="G19" s="116"/>
      <c r="H19" s="58"/>
      <c r="I19" s="41" t="s">
        <v>76</v>
      </c>
      <c r="J19" s="68"/>
      <c r="K19" s="84"/>
      <c r="L19" s="119"/>
    </row>
    <row r="20" ht="16.5" customHeight="1">
      <c r="A20" s="77" t="s">
        <v>48</v>
      </c>
      <c r="B20" s="58" t="s">
        <v>12</v>
      </c>
      <c r="C20" s="82" t="s">
        <v>13</v>
      </c>
      <c r="D20" s="58" t="s">
        <v>50</v>
      </c>
      <c r="E20" s="77" t="s">
        <v>48</v>
      </c>
      <c r="F20" s="58" t="s">
        <v>12</v>
      </c>
      <c r="G20" s="82" t="s">
        <v>13</v>
      </c>
      <c r="H20" s="58" t="s">
        <v>50</v>
      </c>
      <c r="I20" s="77" t="s">
        <v>48</v>
      </c>
      <c r="J20" s="58" t="s">
        <v>12</v>
      </c>
      <c r="K20" s="82" t="s">
        <v>13</v>
      </c>
      <c r="L20" s="58" t="s">
        <v>50</v>
      </c>
    </row>
    <row r="21" ht="16.5" customHeight="1">
      <c r="A21" s="78" t="n">
        <v>1</v>
      </c>
      <c r="B21" s="7" t="n">
        <v>0.271499672595787</v>
      </c>
      <c r="C21" s="126" t="n">
        <v>0.0845601488774398</v>
      </c>
      <c r="D21" s="58" t="n">
        <v>297</v>
      </c>
      <c r="E21" s="78" t="n">
        <v>1</v>
      </c>
      <c r="F21" s="58" t="n">
        <v>0.416692165796975</v>
      </c>
      <c r="G21" s="82" t="n">
        <v>0.526031719400546</v>
      </c>
      <c r="H21" s="58" t="n">
        <v>296</v>
      </c>
      <c r="I21" s="78" t="n">
        <v>1</v>
      </c>
      <c r="J21" s="58" t="n">
        <v>0.154516295276757</v>
      </c>
      <c r="K21" s="82" t="n">
        <v>0.216619423632719</v>
      </c>
      <c r="L21" s="58" t="n">
        <v>297</v>
      </c>
      <c r="N21" s="58"/>
      <c r="O21" s="58"/>
      <c r="P21" s="58"/>
    </row>
    <row r="22" ht="16.5" customHeight="1">
      <c r="A22" s="78" t="n">
        <v>0.9</v>
      </c>
      <c r="B22" s="7" t="n">
        <v>0.271719424785159</v>
      </c>
      <c r="C22" s="126" t="n">
        <v>0.0846835552445707</v>
      </c>
      <c r="D22" s="58" t="n">
        <v>297</v>
      </c>
      <c r="E22" s="78" t="n">
        <v>0.9</v>
      </c>
      <c r="F22" s="58" t="n">
        <v>0.416494031524111</v>
      </c>
      <c r="G22" s="82" t="n">
        <v>0.526216633390806</v>
      </c>
      <c r="H22" s="58" t="n">
        <v>297</v>
      </c>
      <c r="I22" s="78" t="n">
        <v>0.9</v>
      </c>
      <c r="J22" s="58" t="n">
        <v>0.154474149351214</v>
      </c>
      <c r="K22" s="82" t="n">
        <v>0.216418555932331</v>
      </c>
      <c r="L22" s="58" t="n">
        <v>296</v>
      </c>
      <c r="N22" s="58"/>
      <c r="O22" s="58"/>
      <c r="P22" s="58"/>
    </row>
    <row r="23" ht="16.5" customHeight="1">
      <c r="A23" s="78" t="n">
        <v>0.8</v>
      </c>
      <c r="B23" s="7" t="n">
        <v>0.271339038696845</v>
      </c>
      <c r="C23" s="126" t="n">
        <v>0.0844955611455332</v>
      </c>
      <c r="D23" s="58" t="n">
        <v>296</v>
      </c>
      <c r="E23" s="78" t="n">
        <v>0.8</v>
      </c>
      <c r="F23" s="58" t="n">
        <v>0.416256124968347</v>
      </c>
      <c r="G23" s="82" t="n">
        <v>0.526415199439618</v>
      </c>
      <c r="H23" s="58" t="n">
        <v>296</v>
      </c>
      <c r="I23" s="78" t="n">
        <v>0.8</v>
      </c>
      <c r="J23" s="58" t="n">
        <v>0.154469519588747</v>
      </c>
      <c r="K23" s="82" t="n">
        <v>0.216592535296679</v>
      </c>
      <c r="L23" s="58" t="n">
        <v>296</v>
      </c>
      <c r="N23" s="58"/>
      <c r="O23" s="58"/>
      <c r="P23" s="58"/>
    </row>
    <row r="24" ht="16.5" customHeight="1">
      <c r="A24" s="78" t="n">
        <v>0.7</v>
      </c>
      <c r="B24" s="7" t="n">
        <v>0.268960762052749</v>
      </c>
      <c r="C24" s="126" t="n">
        <v>0.0833356675054617</v>
      </c>
      <c r="D24" s="58" t="n">
        <v>296</v>
      </c>
      <c r="E24" s="78" t="n">
        <v>0.7</v>
      </c>
      <c r="F24" s="58" t="n">
        <v>0.414160620924657</v>
      </c>
      <c r="G24" s="82" t="n">
        <v>0.528131073911222</v>
      </c>
      <c r="H24" s="58" t="n">
        <v>296</v>
      </c>
      <c r="I24" s="78" t="n">
        <v>0.7</v>
      </c>
      <c r="J24" s="58" t="n">
        <v>0.154466184670832</v>
      </c>
      <c r="K24" s="82" t="n">
        <v>0.216454430940983</v>
      </c>
      <c r="L24" s="58" t="n">
        <v>296</v>
      </c>
      <c r="N24" s="58"/>
      <c r="O24" s="58"/>
      <c r="P24" s="58"/>
    </row>
    <row r="25" ht="16.5" customHeight="1">
      <c r="A25" s="78" t="n">
        <v>0.6</v>
      </c>
      <c r="B25" s="7" t="n">
        <v>0.267850814585405</v>
      </c>
      <c r="C25" s="126" t="n">
        <v>0.0828068317023391</v>
      </c>
      <c r="D25" s="58" t="n">
        <v>296</v>
      </c>
      <c r="E25" s="78" t="n">
        <v>0.6</v>
      </c>
      <c r="F25" s="58" t="n">
        <v>0.412899503182563</v>
      </c>
      <c r="G25" s="82" t="n">
        <v>0.52916841915957</v>
      </c>
      <c r="H25" s="58" t="n">
        <v>296</v>
      </c>
      <c r="I25" s="78" t="n">
        <v>0.6</v>
      </c>
      <c r="J25" s="58" t="n">
        <v>0.154399935836626</v>
      </c>
      <c r="K25" s="82" t="n">
        <v>0.216443000977747</v>
      </c>
      <c r="L25" s="58" t="n">
        <v>296</v>
      </c>
      <c r="N25" s="58"/>
      <c r="O25" s="58"/>
      <c r="P25" s="58"/>
    </row>
    <row r="26" ht="16.5" customHeight="1">
      <c r="A26" s="78" t="n">
        <v>0.5</v>
      </c>
      <c r="B26" s="7" t="n">
        <v>0.26578453250364</v>
      </c>
      <c r="C26" s="126" t="n">
        <v>0.0818044337047797</v>
      </c>
      <c r="D26" s="58" t="n">
        <v>295</v>
      </c>
      <c r="E26" s="78" t="n">
        <v>0.5</v>
      </c>
      <c r="F26" s="58" t="n">
        <v>0.411143885968123</v>
      </c>
      <c r="G26" s="82" t="n">
        <v>0.530621705418983</v>
      </c>
      <c r="H26" s="58" t="n">
        <v>294</v>
      </c>
      <c r="I26" s="78" t="n">
        <v>0.5</v>
      </c>
      <c r="J26" s="58" t="n">
        <v>0.154343615421868</v>
      </c>
      <c r="K26" s="82" t="n">
        <v>0.216243587820938</v>
      </c>
      <c r="L26" s="58" t="n">
        <v>296</v>
      </c>
      <c r="N26" s="58"/>
      <c r="O26" s="58"/>
      <c r="P26" s="58"/>
    </row>
    <row r="27" ht="16.5" customHeight="1">
      <c r="A27" s="78" t="n">
        <v>0.4</v>
      </c>
      <c r="B27" s="7" t="n">
        <v>0.263569501155742</v>
      </c>
      <c r="C27" s="126" t="n">
        <v>0.0807351605769775</v>
      </c>
      <c r="D27" s="58" t="n">
        <v>281</v>
      </c>
      <c r="E27" s="78" t="n">
        <v>0.4</v>
      </c>
      <c r="F27" s="58" t="n">
        <v>0.409645603730729</v>
      </c>
      <c r="G27" s="82" t="n">
        <v>0.531893444248855</v>
      </c>
      <c r="H27" s="58" t="n">
        <v>289</v>
      </c>
      <c r="I27" s="78" t="n">
        <v>0.4</v>
      </c>
      <c r="J27" s="58" t="n">
        <v>0.153979959335142</v>
      </c>
      <c r="K27" s="82" t="n">
        <v>0.216409033436078</v>
      </c>
      <c r="L27" s="58" t="n">
        <v>281</v>
      </c>
      <c r="N27" s="58"/>
      <c r="O27" s="58"/>
      <c r="P27" s="58"/>
    </row>
    <row r="28" ht="16.5" customHeight="1">
      <c r="A28" s="78" t="n">
        <v>0.3</v>
      </c>
      <c r="B28" s="7" t="n">
        <v>0.262931200969052</v>
      </c>
      <c r="C28" s="126" t="n">
        <v>0.0804530470084669</v>
      </c>
      <c r="D28" s="58" t="n">
        <v>228</v>
      </c>
      <c r="E28" s="78" t="n">
        <v>0.3</v>
      </c>
      <c r="F28" s="58" t="n">
        <v>0.408592169287198</v>
      </c>
      <c r="G28" s="82" t="n">
        <v>0.53279854005644</v>
      </c>
      <c r="H28" s="58" t="n">
        <v>247</v>
      </c>
      <c r="I28" s="78" t="n">
        <v>0.3</v>
      </c>
      <c r="J28" s="58" t="n">
        <v>0.154264549004316</v>
      </c>
      <c r="K28" s="82" t="n">
        <v>0.216330808626468</v>
      </c>
      <c r="L28" s="58" t="n">
        <v>246</v>
      </c>
      <c r="N28" s="58"/>
      <c r="O28" s="58"/>
      <c r="P28" s="58"/>
    </row>
    <row r="29" ht="16.5" customHeight="1">
      <c r="A29" s="78" t="n">
        <v>0.2</v>
      </c>
      <c r="B29" s="7" t="n">
        <v>0.263236293463677</v>
      </c>
      <c r="C29" s="126" t="n">
        <v>0.0806361940700949</v>
      </c>
      <c r="D29" s="58" t="n">
        <v>178</v>
      </c>
      <c r="E29" s="78" t="n">
        <v>0.2</v>
      </c>
      <c r="F29" s="58" t="n">
        <v>0.40736613108996</v>
      </c>
      <c r="G29" s="82" t="n">
        <v>0.533861695601339</v>
      </c>
      <c r="H29" s="58" t="n">
        <v>216</v>
      </c>
      <c r="I29" s="78" t="n">
        <v>0.2</v>
      </c>
      <c r="J29" s="58" t="n">
        <v>0.154951679468215</v>
      </c>
      <c r="K29" s="82" t="n">
        <v>0.21548111350638</v>
      </c>
      <c r="L29" s="58" t="n">
        <v>210</v>
      </c>
      <c r="N29" s="58"/>
      <c r="O29" s="58"/>
      <c r="P29" s="58"/>
    </row>
    <row r="30" ht="16.5" customHeight="1">
      <c r="A30" s="78" t="n">
        <v>0.1</v>
      </c>
      <c r="B30" s="7" t="n">
        <v>0.263363212340803</v>
      </c>
      <c r="C30" s="126" t="n">
        <v>0.0807117854004341</v>
      </c>
      <c r="D30" s="58" t="n">
        <v>117</v>
      </c>
      <c r="E30" s="78" t="n">
        <v>0.1</v>
      </c>
      <c r="F30" s="58" t="n">
        <v>0.406242781109868</v>
      </c>
      <c r="G30" s="82" t="n">
        <v>0.53482913638249</v>
      </c>
      <c r="H30" s="58" t="n">
        <v>143</v>
      </c>
      <c r="I30" s="78" t="n">
        <v>0.1</v>
      </c>
      <c r="J30" s="58" t="n">
        <v>0.155157425062513</v>
      </c>
      <c r="K30" s="82" t="n">
        <v>0.213873231881072</v>
      </c>
      <c r="L30" s="58" t="n">
        <v>145</v>
      </c>
      <c r="N30" s="58"/>
      <c r="O30" s="58"/>
      <c r="P30" s="58"/>
    </row>
    <row r="31" ht="16.5" customHeight="1">
      <c r="A31" s="78" t="n">
        <v>0.05</v>
      </c>
      <c r="B31" s="7" t="n">
        <v>0.264550320603212</v>
      </c>
      <c r="C31" s="126" t="n">
        <v>0.081347233797611</v>
      </c>
      <c r="D31" s="58" t="n">
        <v>85</v>
      </c>
      <c r="E31" s="78" t="n">
        <v>0.05</v>
      </c>
      <c r="F31" s="58" t="n">
        <v>0.406950509767145</v>
      </c>
      <c r="G31" s="82" t="n">
        <v>0.534315064689858</v>
      </c>
      <c r="H31" s="58" t="n">
        <v>99</v>
      </c>
      <c r="I31" s="78" t="n">
        <v>0.05</v>
      </c>
      <c r="J31" s="58" t="n">
        <v>0.155276297932349</v>
      </c>
      <c r="K31" s="82" t="n">
        <v>0.215623776125041</v>
      </c>
      <c r="L31" s="58" t="n">
        <v>100</v>
      </c>
      <c r="N31" s="58"/>
      <c r="O31" s="58"/>
      <c r="P31" s="58"/>
    </row>
    <row r="32" ht="16.5" customHeight="1">
      <c r="A32" s="78" t="n">
        <v>0.02</v>
      </c>
      <c r="B32" s="7" t="n">
        <v>0.266368751089085</v>
      </c>
      <c r="C32" s="126" t="n">
        <v>0.0822950508347216</v>
      </c>
      <c r="D32" s="58" t="n">
        <v>67</v>
      </c>
      <c r="E32" s="78" t="n">
        <v>0.02</v>
      </c>
      <c r="F32" s="58" t="n">
        <v>0.406976477974175</v>
      </c>
      <c r="G32" s="82" t="n">
        <v>0.534291316613287</v>
      </c>
      <c r="H32" s="58" t="n">
        <v>74</v>
      </c>
      <c r="I32" s="78" t="n">
        <v>0.02</v>
      </c>
      <c r="J32" s="58" t="n">
        <v>0.155244519151355</v>
      </c>
      <c r="K32" s="82" t="n">
        <v>0.218621278915907</v>
      </c>
      <c r="L32" s="58" t="n">
        <v>75</v>
      </c>
      <c r="N32" s="58"/>
      <c r="O32" s="58"/>
      <c r="P32" s="58"/>
    </row>
    <row r="33" ht="16.5" customHeight="1">
      <c r="A33" s="79" t="n">
        <v>0.01</v>
      </c>
      <c r="B33" s="125" t="n">
        <v>0.272040591588683</v>
      </c>
      <c r="C33" s="127" t="n">
        <v>0.0852770067292198</v>
      </c>
      <c r="D33" s="58" t="n">
        <v>59</v>
      </c>
      <c r="E33" s="79" t="n">
        <v>0.01</v>
      </c>
      <c r="F33" s="75" t="n">
        <v>0.408023478234171</v>
      </c>
      <c r="G33" s="83" t="n">
        <v>0.533436137744465</v>
      </c>
      <c r="H33" s="58" t="n">
        <v>65</v>
      </c>
      <c r="I33" s="79" t="n">
        <v>0.01</v>
      </c>
      <c r="J33" s="75" t="n">
        <v>0.154478348472442</v>
      </c>
      <c r="K33" s="83" t="n">
        <v>0.225933123422052</v>
      </c>
      <c r="L33" s="58" t="n">
        <v>65</v>
      </c>
      <c r="N33" s="58"/>
      <c r="O33" s="58"/>
      <c r="P33" s="58"/>
    </row>
    <row r="34" ht="16.5" customHeight="1">
      <c r="B34" s="4" t="n">
        <f>B33-B28</f>
        <v>0.00910939061963101</v>
      </c>
      <c r="C34" s="4" t="n">
        <f>C33-C28</f>
        <v>0.0048239597207529</v>
      </c>
      <c r="F34" s="4" t="n">
        <f>F21-F30</f>
        <v>0.010449384687107</v>
      </c>
      <c r="G34" s="4" t="n">
        <f>G30-G21</f>
        <v>0.00879741698194392</v>
      </c>
      <c r="J34" s="4" t="n">
        <f>J31-J27</f>
        <v>0.00129633859720701</v>
      </c>
      <c r="K34" s="4" t="n">
        <f>K33-K30</f>
        <v>0.01205989154098</v>
      </c>
    </row>
  </sheetData>
  <mergeCells count="8">
    <mergeCell ref="A2:C2"/>
    <mergeCell ref="E2:G2"/>
    <mergeCell ref="I2:K2"/>
    <mergeCell ref="N2:P2"/>
    <mergeCell ref="A19:C19"/>
    <mergeCell ref="E19:G19"/>
    <mergeCell ref="I19:K19"/>
    <mergeCell ref="A1:P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2026-06-04T14:50:51Z</dcterms:modified>
</cp:coreProperties>
</file>